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gotovitve" sheetId="1" state="visible" r:id="rId3"/>
    <sheet name="Zmožnosti" sheetId="2" state="visible" r:id="rId4"/>
    <sheet name="Profili" sheetId="3" state="visible" r:id="rId5"/>
    <sheet name="Po paketih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<sst xmlns="http://schemas.openxmlformats.org/spreadsheetml/2006/main" count="246" uniqueCount="138">
  <si>
    <t xml:space="preserve">Ugotovitve pregleda</t>
  </si>
  <si>
    <t xml:space="preserve">#</t>
  </si>
  <si>
    <t xml:space="preserve">Ugotovitev</t>
  </si>
  <si>
    <t xml:space="preserve">Podrobnosti</t>
  </si>
  <si>
    <t xml:space="preserve">Predlog</t>
  </si>
  <si>
    <t xml:space="preserve">Primer z bifejem je napačen</t>
  </si>
  <si>
    <t xml:space="preserve">Profil Bar/bife/pub ima privzeto samo Mize, Točilnico in QR meni. Rezervacij ni med privzetimi, zato jih Extended ne doda samodejno.</t>
  </si>
  <si>
    <t xml:space="preserve">Popravek: »Bife dobi Mize in Točilnico v paketu Standard, QR meni pa šele v paketu Extended.«</t>
  </si>
  <si>
    <t xml:space="preserve">Samopostrežna ponudba ni na voljo v nobenem paketu</t>
  </si>
  <si>
    <t xml:space="preserve">self_service je privzet pri Samopostrežni restavraciji in Hotelski gostinski ponudbi, ni pa v nobenem paketu (posPlanPolicy.test.ts: »ne oglašuje neimplementirane samopostrežne funkcije«).</t>
  </si>
  <si>
    <t xml:space="preserve">Odstraniti iz dokumentacije do implementacije ali označiti »v pripravi«.</t>
  </si>
  <si>
    <t xml:space="preserve">Začasni profili v Lite/Standard izgubijo namen</t>
  </si>
  <si>
    <t xml:space="preserve">Dogodki, Prenosi zaloge in Kavcije/boni/žetoni so samo v Extended. V Standard dobi veselica le Kuhinjo in Točilnico. Začasna enota mora imeti nadrejeno enoto ter obdobje od–do (omejitev v bazi).</t>
  </si>
  <si>
    <t xml:space="preserve">Poudariti v cenikih in navodilih; razmisliti o paketu za prireditve.</t>
  </si>
  <si>
    <t xml:space="preserve">Lite reže vse dodatne zmožnosti</t>
  </si>
  <si>
    <t xml:space="preserve">Lite vsebuje le osnovo: ni miz, kuhinje, točilnice – v praksi pultna blagajna.</t>
  </si>
  <si>
    <t xml:space="preserve">Jasno navesti v cenikih, da Lite ni primeren za strežbo pri mizi.</t>
  </si>
  <si>
    <t xml:space="preserve">Simulacija ni privzeta nikjer</t>
  </si>
  <si>
    <t xml:space="preserve">simulation je v Extended, a ni v nobenem profilu niti v osnovi.</t>
  </si>
  <si>
    <t xml:space="preserve">Opisati kot »na voljo v Extended, vklop ročno«.</t>
  </si>
  <si>
    <t xml:space="preserve">Zmožnosti in najnižji paket</t>
  </si>
  <si>
    <t xml:space="preserve">Vir: lib/db/src/schema/company-pos-plans.ts (POS_PLAN_CAPABILITIES), stanje 8. 10. 2026. Stolpec C je vnos (modro) – spremenite paket in vsi izračuni se posodobijo.</t>
  </si>
  <si>
    <t xml:space="preserve">Koda</t>
  </si>
  <si>
    <t xml:space="preserve">Zmožnost</t>
  </si>
  <si>
    <t xml:space="preserve">Najnižji paket</t>
  </si>
  <si>
    <t xml:space="preserve">Stopnja</t>
  </si>
  <si>
    <t xml:space="preserve">Osnova (vse enote)</t>
  </si>
  <si>
    <t xml:space="preserve">Opomba</t>
  </si>
  <si>
    <t xml:space="preserve">checkout</t>
  </si>
  <si>
    <t xml:space="preserve">Blagajna</t>
  </si>
  <si>
    <t xml:space="preserve">Lite</t>
  </si>
  <si>
    <t xml:space="preserve">Da</t>
  </si>
  <si>
    <t xml:space="preserve">shifts</t>
  </si>
  <si>
    <t xml:space="preserve">Izmene</t>
  </si>
  <si>
    <t xml:space="preserve">receipts</t>
  </si>
  <si>
    <t xml:space="preserve">Računi</t>
  </si>
  <si>
    <t xml:space="preserve">menu</t>
  </si>
  <si>
    <t xml:space="preserve">Meni</t>
  </si>
  <si>
    <t xml:space="preserve">inventory</t>
  </si>
  <si>
    <t xml:space="preserve">Zaloge</t>
  </si>
  <si>
    <t xml:space="preserve">statistics</t>
  </si>
  <si>
    <t xml:space="preserve">Statistike</t>
  </si>
  <si>
    <t xml:space="preserve">operational_reports</t>
  </si>
  <si>
    <t xml:space="preserve">Operativna poročila</t>
  </si>
  <si>
    <t xml:space="preserve">realization</t>
  </si>
  <si>
    <t xml:space="preserve">Realizacija</t>
  </si>
  <si>
    <t xml:space="preserve">journals</t>
  </si>
  <si>
    <t xml:space="preserve">Temeljnice</t>
  </si>
  <si>
    <t xml:space="preserve">cash_movements</t>
  </si>
  <si>
    <t xml:space="preserve">Blagajniški premiki</t>
  </si>
  <si>
    <t xml:space="preserve">hours</t>
  </si>
  <si>
    <t xml:space="preserve">Obračun ur</t>
  </si>
  <si>
    <t xml:space="preserve">settings</t>
  </si>
  <si>
    <t xml:space="preserve">Nastavitve</t>
  </si>
  <si>
    <t xml:space="preserve">tables</t>
  </si>
  <si>
    <t xml:space="preserve">Mize</t>
  </si>
  <si>
    <t xml:space="preserve">Standard</t>
  </si>
  <si>
    <t xml:space="preserve">Ne</t>
  </si>
  <si>
    <t xml:space="preserve">kitchen</t>
  </si>
  <si>
    <t xml:space="preserve">Kuhinja</t>
  </si>
  <si>
    <t xml:space="preserve">bar</t>
  </si>
  <si>
    <t xml:space="preserve">Točilnica</t>
  </si>
  <si>
    <t xml:space="preserve">prepared_food</t>
  </si>
  <si>
    <t xml:space="preserve">Pripravljena hrana</t>
  </si>
  <si>
    <t xml:space="preserve">plate_waste</t>
  </si>
  <si>
    <t xml:space="preserve">Odpadki</t>
  </si>
  <si>
    <t xml:space="preserve">phone_orders</t>
  </si>
  <si>
    <t xml:space="preserve">Telefonska naročila</t>
  </si>
  <si>
    <t xml:space="preserve">reservations</t>
  </si>
  <si>
    <t xml:space="preserve">Rezervacije</t>
  </si>
  <si>
    <t xml:space="preserve">Extended</t>
  </si>
  <si>
    <t xml:space="preserve">delivery</t>
  </si>
  <si>
    <t xml:space="preserve">Dostava</t>
  </si>
  <si>
    <t xml:space="preserve">qr_menu</t>
  </si>
  <si>
    <t xml:space="preserve">QR meni</t>
  </si>
  <si>
    <t xml:space="preserve">multi_course</t>
  </si>
  <si>
    <t xml:space="preserve">Večhodni meniji</t>
  </si>
  <si>
    <t xml:space="preserve">events</t>
  </si>
  <si>
    <t xml:space="preserve">Dogodki</t>
  </si>
  <si>
    <t xml:space="preserve">stock_transfers</t>
  </si>
  <si>
    <t xml:space="preserve">Prenosi zaloge</t>
  </si>
  <si>
    <t xml:space="preserve">deposits_tokens</t>
  </si>
  <si>
    <t xml:space="preserve">Kavcije/boni/žetoni</t>
  </si>
  <si>
    <t xml:space="preserve">simulation</t>
  </si>
  <si>
    <t xml:space="preserve">Simulacija</t>
  </si>
  <si>
    <t xml:space="preserve">Ni v nobenem profilu – samo ročni vklop</t>
  </si>
  <si>
    <t xml:space="preserve">self_service</t>
  </si>
  <si>
    <t xml:space="preserve">Samopostrežna ponudba</t>
  </si>
  <si>
    <t xml:space="preserve">—</t>
  </si>
  <si>
    <t xml:space="preserve">Ni implementirano; ni v nobenem paketu (test posPlanPolicy)</t>
  </si>
  <si>
    <t xml:space="preserve">Privzete zmožnosti po vrsti lokala (1 = privzeto vključeno)</t>
  </si>
  <si>
    <t xml:space="preserve">Vir: lib/db/src/schema/pos/enote.ts (HOSPITALITY_PROFILE_DEFAULTS). Celice 1/0 so vnos (modro).</t>
  </si>
  <si>
    <t xml:space="preserve">Vrsta</t>
  </si>
  <si>
    <t xml:space="preserve">Način strežbe</t>
  </si>
  <si>
    <t xml:space="preserve">service_mode</t>
  </si>
  <si>
    <t xml:space="preserve">Začasna</t>
  </si>
  <si>
    <t xml:space="preserve">restaurant</t>
  </si>
  <si>
    <t xml:space="preserve">Restavracija</t>
  </si>
  <si>
    <t xml:space="preserve">pri mizi</t>
  </si>
  <si>
    <t xml:space="preserve">table_service</t>
  </si>
  <si>
    <t xml:space="preserve">inn</t>
  </si>
  <si>
    <t xml:space="preserve">Gostilna / gostišče</t>
  </si>
  <si>
    <t xml:space="preserve">fine_dining</t>
  </si>
  <si>
    <t xml:space="preserve">Fine dining</t>
  </si>
  <si>
    <t xml:space="preserve">Samopostrežna restavracija</t>
  </si>
  <si>
    <t xml:space="preserve">samopostrežba</t>
  </si>
  <si>
    <t xml:space="preserve">fast_food</t>
  </si>
  <si>
    <t xml:space="preserve">Hitra prehrana / kiosk</t>
  </si>
  <si>
    <t xml:space="preserve">pult</t>
  </si>
  <si>
    <t xml:space="preserve">counter</t>
  </si>
  <si>
    <t xml:space="preserve">Bar / bife / pub</t>
  </si>
  <si>
    <t xml:space="preserve">kombinirano</t>
  </si>
  <si>
    <t xml:space="preserve">mixed</t>
  </si>
  <si>
    <t xml:space="preserve">cafe_pastry</t>
  </si>
  <si>
    <t xml:space="preserve">Kavarna / slaščičarna</t>
  </si>
  <si>
    <t xml:space="preserve">tourist_farm</t>
  </si>
  <si>
    <t xml:space="preserve">Turistična kmetija / osmica</t>
  </si>
  <si>
    <t xml:space="preserve">festival_society</t>
  </si>
  <si>
    <t xml:space="preserve">Društvo / veselica</t>
  </si>
  <si>
    <t xml:space="preserve">prireditev</t>
  </si>
  <si>
    <t xml:space="preserve">mobile_event</t>
  </si>
  <si>
    <t xml:space="preserve">event_stall</t>
  </si>
  <si>
    <t xml:space="preserve">Prireditvena stojnica</t>
  </si>
  <si>
    <t xml:space="preserve">catering_celebrations</t>
  </si>
  <si>
    <t xml:space="preserve">Pogostitve in slavja</t>
  </si>
  <si>
    <t xml:space="preserve">catering</t>
  </si>
  <si>
    <t xml:space="preserve">food_truck</t>
  </si>
  <si>
    <t xml:space="preserve">Food truck / prikolica / kombi</t>
  </si>
  <si>
    <t xml:space="preserve">hotel_food_service</t>
  </si>
  <si>
    <t xml:space="preserve">Hotelska gostinska ponudba</t>
  </si>
  <si>
    <t xml:space="preserve">Dejanske zmožnosti po paketu</t>
  </si>
  <si>
    <t xml:space="preserve">Izračun: zmožnost iz profila (Profili) × najnižji paket (Zmožnosti). Osnova je izpuščena, ker je enaka za vse.</t>
  </si>
  <si>
    <t xml:space="preserve">Standard doda</t>
  </si>
  <si>
    <t xml:space="preserve">Extended doda še</t>
  </si>
  <si>
    <t xml:space="preserve">Ni v nobenem paketu</t>
  </si>
  <si>
    <t xml:space="preserve">Št. v Standard</t>
  </si>
  <si>
    <t xml:space="preserve">Št. v Extended</t>
  </si>
  <si>
    <t xml:space="preserve">Št. nedosegljivih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</si>
</sst>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name val="Consolas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DEBF7"/>
        </patternFill>
      </fill>
    </dxf>
    <dxf>
      <font>
        <color rgb="FFBFBFBF"/>
      </font>
    </dxf>
    <dxf>
      <font>
        <b val="1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4" min="4" style="0" width="4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61.5" hidden="false" customHeight="true" outlineLevel="0" collapsed="false">
      <c r="A4" s="3" t="n">
        <v>1</v>
      </c>
      <c r="B4" s="4" t="s">
        <v>5</v>
      </c>
      <c r="C4" s="3" t="s">
        <v>6</v>
      </c>
      <c r="D4" s="3" t="s">
        <v>7</v>
      </c>
    </row>
    <row r="5" customFormat="false" ht="61.5" hidden="false" customHeight="true" outlineLevel="0" collapsed="false">
      <c r="A5" s="3" t="n">
        <v>2</v>
      </c>
      <c r="B5" s="4" t="s">
        <v>8</v>
      </c>
      <c r="C5" s="3" t="s">
        <v>9</v>
      </c>
      <c r="D5" s="3" t="s">
        <v>10</v>
      </c>
    </row>
    <row r="6" customFormat="false" ht="61.5" hidden="false" customHeight="true" outlineLevel="0" collapsed="false">
      <c r="A6" s="3" t="n">
        <v>3</v>
      </c>
      <c r="B6" s="4" t="s">
        <v>11</v>
      </c>
      <c r="C6" s="3" t="s">
        <v>12</v>
      </c>
      <c r="D6" s="3" t="s">
        <v>13</v>
      </c>
    </row>
    <row r="7" customFormat="false" ht="61.5" hidden="false" customHeight="true" outlineLevel="0" collapsed="false">
      <c r="A7" s="3" t="n">
        <v>4</v>
      </c>
      <c r="B7" s="4" t="s">
        <v>14</v>
      </c>
      <c r="C7" s="3" t="s">
        <v>15</v>
      </c>
      <c r="D7" s="3" t="s">
        <v>16</v>
      </c>
    </row>
    <row r="8" customFormat="false" ht="61.5" hidden="false" customHeight="true" outlineLevel="0" collapsed="false">
      <c r="A8" s="3" t="n">
        <v>5</v>
      </c>
      <c r="B8" s="4" t="s">
        <v>17</v>
      </c>
      <c r="C8" s="3" t="s">
        <v>18</v>
      </c>
      <c r="D8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5" min="5" style="0" width="16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5" t="s">
        <v>21</v>
      </c>
    </row>
    <row r="4" customFormat="false" ht="23.8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</row>
    <row r="5" customFormat="false" ht="15" hidden="false" customHeight="false" outlineLevel="0" collapsed="false">
      <c r="A5" s="6" t="s">
        <v>28</v>
      </c>
      <c r="B5" s="7" t="s">
        <v>29</v>
      </c>
      <c r="C5" s="8" t="s">
        <v>30</v>
      </c>
      <c r="D5" s="9" t="n">
        <f aca="false">IF(C5="Lite",1,IF(C5="Standard",2,IF(C5="Extended",3,99)))</f>
        <v>1</v>
      </c>
      <c r="E5" s="9" t="s">
        <v>31</v>
      </c>
      <c r="F5" s="10"/>
    </row>
    <row r="6" customFormat="false" ht="15" hidden="false" customHeight="false" outlineLevel="0" collapsed="false">
      <c r="A6" s="6" t="s">
        <v>32</v>
      </c>
      <c r="B6" s="7" t="s">
        <v>33</v>
      </c>
      <c r="C6" s="8" t="s">
        <v>30</v>
      </c>
      <c r="D6" s="9" t="n">
        <f aca="false">IF(C6="Lite",1,IF(C6="Standard",2,IF(C6="Extended",3,99)))</f>
        <v>1</v>
      </c>
      <c r="E6" s="9" t="s">
        <v>31</v>
      </c>
      <c r="F6" s="10"/>
    </row>
    <row r="7" customFormat="false" ht="15" hidden="false" customHeight="false" outlineLevel="0" collapsed="false">
      <c r="A7" s="6" t="s">
        <v>34</v>
      </c>
      <c r="B7" s="7" t="s">
        <v>35</v>
      </c>
      <c r="C7" s="8" t="s">
        <v>30</v>
      </c>
      <c r="D7" s="9" t="n">
        <f aca="false">IF(C7="Lite",1,IF(C7="Standard",2,IF(C7="Extended",3,99)))</f>
        <v>1</v>
      </c>
      <c r="E7" s="9" t="s">
        <v>31</v>
      </c>
      <c r="F7" s="10"/>
    </row>
    <row r="8" customFormat="false" ht="15" hidden="false" customHeight="false" outlineLevel="0" collapsed="false">
      <c r="A8" s="6" t="s">
        <v>36</v>
      </c>
      <c r="B8" s="7" t="s">
        <v>37</v>
      </c>
      <c r="C8" s="8" t="s">
        <v>30</v>
      </c>
      <c r="D8" s="9" t="n">
        <f aca="false">IF(C8="Lite",1,IF(C8="Standard",2,IF(C8="Extended",3,99)))</f>
        <v>1</v>
      </c>
      <c r="E8" s="9" t="s">
        <v>31</v>
      </c>
      <c r="F8" s="10"/>
    </row>
    <row r="9" customFormat="false" ht="15" hidden="false" customHeight="false" outlineLevel="0" collapsed="false">
      <c r="A9" s="6" t="s">
        <v>38</v>
      </c>
      <c r="B9" s="7" t="s">
        <v>39</v>
      </c>
      <c r="C9" s="8" t="s">
        <v>30</v>
      </c>
      <c r="D9" s="9" t="n">
        <f aca="false">IF(C9="Lite",1,IF(C9="Standard",2,IF(C9="Extended",3,99)))</f>
        <v>1</v>
      </c>
      <c r="E9" s="9" t="s">
        <v>31</v>
      </c>
      <c r="F9" s="10"/>
    </row>
    <row r="10" customFormat="false" ht="15" hidden="false" customHeight="false" outlineLevel="0" collapsed="false">
      <c r="A10" s="6" t="s">
        <v>40</v>
      </c>
      <c r="B10" s="7" t="s">
        <v>41</v>
      </c>
      <c r="C10" s="8" t="s">
        <v>30</v>
      </c>
      <c r="D10" s="9" t="n">
        <f aca="false">IF(C10="Lite",1,IF(C10="Standard",2,IF(C10="Extended",3,99)))</f>
        <v>1</v>
      </c>
      <c r="E10" s="9" t="s">
        <v>31</v>
      </c>
      <c r="F10" s="10"/>
    </row>
    <row r="11" customFormat="false" ht="15" hidden="false" customHeight="false" outlineLevel="0" collapsed="false">
      <c r="A11" s="6" t="s">
        <v>42</v>
      </c>
      <c r="B11" s="7" t="s">
        <v>43</v>
      </c>
      <c r="C11" s="8" t="s">
        <v>30</v>
      </c>
      <c r="D11" s="9" t="n">
        <f aca="false">IF(C11="Lite",1,IF(C11="Standard",2,IF(C11="Extended",3,99)))</f>
        <v>1</v>
      </c>
      <c r="E11" s="9" t="s">
        <v>31</v>
      </c>
      <c r="F11" s="10"/>
    </row>
    <row r="12" customFormat="false" ht="15" hidden="false" customHeight="false" outlineLevel="0" collapsed="false">
      <c r="A12" s="6" t="s">
        <v>44</v>
      </c>
      <c r="B12" s="7" t="s">
        <v>45</v>
      </c>
      <c r="C12" s="8" t="s">
        <v>30</v>
      </c>
      <c r="D12" s="9" t="n">
        <f aca="false">IF(C12="Lite",1,IF(C12="Standard",2,IF(C12="Extended",3,99)))</f>
        <v>1</v>
      </c>
      <c r="E12" s="9" t="s">
        <v>31</v>
      </c>
      <c r="F12" s="10"/>
    </row>
    <row r="13" customFormat="false" ht="15" hidden="false" customHeight="false" outlineLevel="0" collapsed="false">
      <c r="A13" s="6" t="s">
        <v>46</v>
      </c>
      <c r="B13" s="7" t="s">
        <v>47</v>
      </c>
      <c r="C13" s="8" t="s">
        <v>30</v>
      </c>
      <c r="D13" s="9" t="n">
        <f aca="false">IF(C13="Lite",1,IF(C13="Standard",2,IF(C13="Extended",3,99)))</f>
        <v>1</v>
      </c>
      <c r="E13" s="9" t="s">
        <v>31</v>
      </c>
      <c r="F13" s="10"/>
    </row>
    <row r="14" customFormat="false" ht="15" hidden="false" customHeight="false" outlineLevel="0" collapsed="false">
      <c r="A14" s="6" t="s">
        <v>48</v>
      </c>
      <c r="B14" s="7" t="s">
        <v>49</v>
      </c>
      <c r="C14" s="8" t="s">
        <v>30</v>
      </c>
      <c r="D14" s="9" t="n">
        <f aca="false">IF(C14="Lite",1,IF(C14="Standard",2,IF(C14="Extended",3,99)))</f>
        <v>1</v>
      </c>
      <c r="E14" s="9" t="s">
        <v>31</v>
      </c>
      <c r="F14" s="10"/>
    </row>
    <row r="15" customFormat="false" ht="15" hidden="false" customHeight="false" outlineLevel="0" collapsed="false">
      <c r="A15" s="6" t="s">
        <v>50</v>
      </c>
      <c r="B15" s="7" t="s">
        <v>51</v>
      </c>
      <c r="C15" s="8" t="s">
        <v>30</v>
      </c>
      <c r="D15" s="9" t="n">
        <f aca="false">IF(C15="Lite",1,IF(C15="Standard",2,IF(C15="Extended",3,99)))</f>
        <v>1</v>
      </c>
      <c r="E15" s="9" t="s">
        <v>31</v>
      </c>
      <c r="F15" s="10"/>
    </row>
    <row r="16" customFormat="false" ht="15" hidden="false" customHeight="false" outlineLevel="0" collapsed="false">
      <c r="A16" s="6" t="s">
        <v>52</v>
      </c>
      <c r="B16" s="7" t="s">
        <v>53</v>
      </c>
      <c r="C16" s="8" t="s">
        <v>30</v>
      </c>
      <c r="D16" s="9" t="n">
        <f aca="false">IF(C16="Lite",1,IF(C16="Standard",2,IF(C16="Extended",3,99)))</f>
        <v>1</v>
      </c>
      <c r="E16" s="9" t="s">
        <v>31</v>
      </c>
      <c r="F16" s="10"/>
    </row>
    <row r="17" customFormat="false" ht="15" hidden="false" customHeight="false" outlineLevel="0" collapsed="false">
      <c r="A17" s="6" t="s">
        <v>54</v>
      </c>
      <c r="B17" s="7" t="s">
        <v>55</v>
      </c>
      <c r="C17" s="8" t="s">
        <v>56</v>
      </c>
      <c r="D17" s="9" t="n">
        <f aca="false">IF(C17="Lite",1,IF(C17="Standard",2,IF(C17="Extended",3,99)))</f>
        <v>2</v>
      </c>
      <c r="E17" s="9" t="s">
        <v>57</v>
      </c>
      <c r="F17" s="10"/>
    </row>
    <row r="18" customFormat="false" ht="15" hidden="false" customHeight="false" outlineLevel="0" collapsed="false">
      <c r="A18" s="6" t="s">
        <v>58</v>
      </c>
      <c r="B18" s="7" t="s">
        <v>59</v>
      </c>
      <c r="C18" s="8" t="s">
        <v>56</v>
      </c>
      <c r="D18" s="9" t="n">
        <f aca="false">IF(C18="Lite",1,IF(C18="Standard",2,IF(C18="Extended",3,99)))</f>
        <v>2</v>
      </c>
      <c r="E18" s="9" t="s">
        <v>57</v>
      </c>
      <c r="F18" s="10"/>
    </row>
    <row r="19" customFormat="false" ht="15" hidden="false" customHeight="false" outlineLevel="0" collapsed="false">
      <c r="A19" s="6" t="s">
        <v>60</v>
      </c>
      <c r="B19" s="7" t="s">
        <v>61</v>
      </c>
      <c r="C19" s="8" t="s">
        <v>56</v>
      </c>
      <c r="D19" s="9" t="n">
        <f aca="false">IF(C19="Lite",1,IF(C19="Standard",2,IF(C19="Extended",3,99)))</f>
        <v>2</v>
      </c>
      <c r="E19" s="9" t="s">
        <v>57</v>
      </c>
      <c r="F19" s="10"/>
    </row>
    <row r="20" customFormat="false" ht="15" hidden="false" customHeight="false" outlineLevel="0" collapsed="false">
      <c r="A20" s="6" t="s">
        <v>62</v>
      </c>
      <c r="B20" s="7" t="s">
        <v>63</v>
      </c>
      <c r="C20" s="8" t="s">
        <v>56</v>
      </c>
      <c r="D20" s="9" t="n">
        <f aca="false">IF(C20="Lite",1,IF(C20="Standard",2,IF(C20="Extended",3,99)))</f>
        <v>2</v>
      </c>
      <c r="E20" s="9" t="s">
        <v>57</v>
      </c>
      <c r="F20" s="10"/>
    </row>
    <row r="21" customFormat="false" ht="15" hidden="false" customHeight="false" outlineLevel="0" collapsed="false">
      <c r="A21" s="6" t="s">
        <v>64</v>
      </c>
      <c r="B21" s="7" t="s">
        <v>65</v>
      </c>
      <c r="C21" s="8" t="s">
        <v>56</v>
      </c>
      <c r="D21" s="9" t="n">
        <f aca="false">IF(C21="Lite",1,IF(C21="Standard",2,IF(C21="Extended",3,99)))</f>
        <v>2</v>
      </c>
      <c r="E21" s="9" t="s">
        <v>57</v>
      </c>
      <c r="F21" s="10"/>
    </row>
    <row r="22" customFormat="false" ht="15" hidden="false" customHeight="false" outlineLevel="0" collapsed="false">
      <c r="A22" s="6" t="s">
        <v>66</v>
      </c>
      <c r="B22" s="7" t="s">
        <v>67</v>
      </c>
      <c r="C22" s="8" t="s">
        <v>56</v>
      </c>
      <c r="D22" s="9" t="n">
        <f aca="false">IF(C22="Lite",1,IF(C22="Standard",2,IF(C22="Extended",3,99)))</f>
        <v>2</v>
      </c>
      <c r="E22" s="9" t="s">
        <v>57</v>
      </c>
      <c r="F22" s="10"/>
    </row>
    <row r="23" customFormat="false" ht="15" hidden="false" customHeight="false" outlineLevel="0" collapsed="false">
      <c r="A23" s="6" t="s">
        <v>68</v>
      </c>
      <c r="B23" s="7" t="s">
        <v>69</v>
      </c>
      <c r="C23" s="8" t="s">
        <v>70</v>
      </c>
      <c r="D23" s="9" t="n">
        <f aca="false">IF(C23="Lite",1,IF(C23="Standard",2,IF(C23="Extended",3,99)))</f>
        <v>3</v>
      </c>
      <c r="E23" s="9" t="s">
        <v>57</v>
      </c>
      <c r="F23" s="10"/>
    </row>
    <row r="24" customFormat="false" ht="15" hidden="false" customHeight="false" outlineLevel="0" collapsed="false">
      <c r="A24" s="6" t="s">
        <v>71</v>
      </c>
      <c r="B24" s="7" t="s">
        <v>72</v>
      </c>
      <c r="C24" s="8" t="s">
        <v>70</v>
      </c>
      <c r="D24" s="9" t="n">
        <f aca="false">IF(C24="Lite",1,IF(C24="Standard",2,IF(C24="Extended",3,99)))</f>
        <v>3</v>
      </c>
      <c r="E24" s="9" t="s">
        <v>57</v>
      </c>
      <c r="F24" s="10"/>
    </row>
    <row r="25" customFormat="false" ht="15" hidden="false" customHeight="false" outlineLevel="0" collapsed="false">
      <c r="A25" s="6" t="s">
        <v>73</v>
      </c>
      <c r="B25" s="7" t="s">
        <v>74</v>
      </c>
      <c r="C25" s="8" t="s">
        <v>70</v>
      </c>
      <c r="D25" s="9" t="n">
        <f aca="false">IF(C25="Lite",1,IF(C25="Standard",2,IF(C25="Extended",3,99)))</f>
        <v>3</v>
      </c>
      <c r="E25" s="9" t="s">
        <v>57</v>
      </c>
      <c r="F25" s="10"/>
    </row>
    <row r="26" customFormat="false" ht="15" hidden="false" customHeight="false" outlineLevel="0" collapsed="false">
      <c r="A26" s="6" t="s">
        <v>75</v>
      </c>
      <c r="B26" s="7" t="s">
        <v>76</v>
      </c>
      <c r="C26" s="8" t="s">
        <v>70</v>
      </c>
      <c r="D26" s="9" t="n">
        <f aca="false">IF(C26="Lite",1,IF(C26="Standard",2,IF(C26="Extended",3,99)))</f>
        <v>3</v>
      </c>
      <c r="E26" s="9" t="s">
        <v>57</v>
      </c>
      <c r="F26" s="10"/>
    </row>
    <row r="27" customFormat="false" ht="15" hidden="false" customHeight="false" outlineLevel="0" collapsed="false">
      <c r="A27" s="6" t="s">
        <v>77</v>
      </c>
      <c r="B27" s="7" t="s">
        <v>78</v>
      </c>
      <c r="C27" s="8" t="s">
        <v>70</v>
      </c>
      <c r="D27" s="9" t="n">
        <f aca="false">IF(C27="Lite",1,IF(C27="Standard",2,IF(C27="Extended",3,99)))</f>
        <v>3</v>
      </c>
      <c r="E27" s="9" t="s">
        <v>57</v>
      </c>
      <c r="F27" s="10"/>
    </row>
    <row r="28" customFormat="false" ht="15" hidden="false" customHeight="false" outlineLevel="0" collapsed="false">
      <c r="A28" s="6" t="s">
        <v>79</v>
      </c>
      <c r="B28" s="7" t="s">
        <v>80</v>
      </c>
      <c r="C28" s="8" t="s">
        <v>70</v>
      </c>
      <c r="D28" s="9" t="n">
        <f aca="false">IF(C28="Lite",1,IF(C28="Standard",2,IF(C28="Extended",3,99)))</f>
        <v>3</v>
      </c>
      <c r="E28" s="9" t="s">
        <v>57</v>
      </c>
      <c r="F28" s="10"/>
    </row>
    <row r="29" customFormat="false" ht="15" hidden="false" customHeight="false" outlineLevel="0" collapsed="false">
      <c r="A29" s="6" t="s">
        <v>81</v>
      </c>
      <c r="B29" s="7" t="s">
        <v>82</v>
      </c>
      <c r="C29" s="8" t="s">
        <v>70</v>
      </c>
      <c r="D29" s="9" t="n">
        <f aca="false">IF(C29="Lite",1,IF(C29="Standard",2,IF(C29="Extended",3,99)))</f>
        <v>3</v>
      </c>
      <c r="E29" s="9" t="s">
        <v>57</v>
      </c>
      <c r="F29" s="10"/>
    </row>
    <row r="30" customFormat="false" ht="15" hidden="false" customHeight="false" outlineLevel="0" collapsed="false">
      <c r="A30" s="6" t="s">
        <v>83</v>
      </c>
      <c r="B30" s="7" t="s">
        <v>84</v>
      </c>
      <c r="C30" s="8" t="s">
        <v>70</v>
      </c>
      <c r="D30" s="9" t="n">
        <f aca="false">IF(C30="Lite",1,IF(C30="Standard",2,IF(C30="Extended",3,99)))</f>
        <v>3</v>
      </c>
      <c r="E30" s="9" t="s">
        <v>57</v>
      </c>
      <c r="F30" s="10" t="s">
        <v>85</v>
      </c>
    </row>
    <row r="31" customFormat="false" ht="15" hidden="false" customHeight="false" outlineLevel="0" collapsed="false">
      <c r="A31" s="6" t="s">
        <v>86</v>
      </c>
      <c r="B31" s="7" t="s">
        <v>87</v>
      </c>
      <c r="C31" s="8" t="s">
        <v>88</v>
      </c>
      <c r="D31" s="9" t="n">
        <f aca="false">IF(C31="Lite",1,IF(C31="Standard",2,IF(C31="Extended",3,99)))</f>
        <v>99</v>
      </c>
      <c r="E31" s="9" t="s">
        <v>57</v>
      </c>
      <c r="F31" s="10" t="s">
        <v>89</v>
      </c>
    </row>
  </sheetData>
  <dataValidations count="1">
    <dataValidation allowBlank="false" errorStyle="stop" operator="between" showDropDown="false" showErrorMessage="false" showInputMessage="false" sqref="C5:C31" type="list">
      <formula1>"Lite,Standard,Extended,—"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8"/>
    <col collapsed="false" customWidth="true" hidden="false" outlineLevel="0" max="32" min="6" style="0" width="4.2"/>
  </cols>
  <sheetData>
    <row r="1" customFormat="false" ht="17.35" hidden="false" customHeight="false" outlineLevel="0" collapsed="false">
      <c r="A1" s="1" t="s">
        <v>90</v>
      </c>
    </row>
    <row r="2" customFormat="false" ht="15" hidden="false" customHeight="false" outlineLevel="0" collapsed="false">
      <c r="A2" s="5" t="s">
        <v>91</v>
      </c>
    </row>
    <row r="4" customFormat="false" ht="129.75" hidden="false" customHeight="true" outlineLevel="0" collapsed="false">
      <c r="A4" s="2" t="s">
        <v>22</v>
      </c>
      <c r="B4" s="2" t="s">
        <v>92</v>
      </c>
      <c r="C4" s="2" t="s">
        <v>93</v>
      </c>
      <c r="D4" s="2" t="s">
        <v>94</v>
      </c>
      <c r="E4" s="2" t="s">
        <v>95</v>
      </c>
      <c r="F4" s="11" t="s">
        <v>29</v>
      </c>
      <c r="G4" s="11" t="s">
        <v>33</v>
      </c>
      <c r="H4" s="11" t="s">
        <v>35</v>
      </c>
      <c r="I4" s="11" t="s">
        <v>37</v>
      </c>
      <c r="J4" s="11" t="s">
        <v>39</v>
      </c>
      <c r="K4" s="11" t="s">
        <v>41</v>
      </c>
      <c r="L4" s="11" t="s">
        <v>43</v>
      </c>
      <c r="M4" s="11" t="s">
        <v>45</v>
      </c>
      <c r="N4" s="11" t="s">
        <v>47</v>
      </c>
      <c r="O4" s="11" t="s">
        <v>49</v>
      </c>
      <c r="P4" s="11" t="s">
        <v>51</v>
      </c>
      <c r="Q4" s="11" t="s">
        <v>53</v>
      </c>
      <c r="R4" s="11" t="s">
        <v>55</v>
      </c>
      <c r="S4" s="11" t="s">
        <v>59</v>
      </c>
      <c r="T4" s="11" t="s">
        <v>61</v>
      </c>
      <c r="U4" s="11" t="s">
        <v>63</v>
      </c>
      <c r="V4" s="11" t="s">
        <v>65</v>
      </c>
      <c r="W4" s="11" t="s">
        <v>67</v>
      </c>
      <c r="X4" s="11" t="s">
        <v>69</v>
      </c>
      <c r="Y4" s="11" t="s">
        <v>72</v>
      </c>
      <c r="Z4" s="11" t="s">
        <v>74</v>
      </c>
      <c r="AA4" s="11" t="s">
        <v>76</v>
      </c>
      <c r="AB4" s="11" t="s">
        <v>78</v>
      </c>
      <c r="AC4" s="11" t="s">
        <v>80</v>
      </c>
      <c r="AD4" s="11" t="s">
        <v>82</v>
      </c>
      <c r="AE4" s="11" t="s">
        <v>84</v>
      </c>
      <c r="AF4" s="11" t="s">
        <v>87</v>
      </c>
    </row>
    <row r="5" customFormat="false" ht="15" hidden="false" customHeight="false" outlineLevel="0" collapsed="false">
      <c r="A5" s="12" t="s">
        <v>96</v>
      </c>
      <c r="B5" s="13" t="s">
        <v>97</v>
      </c>
      <c r="C5" s="14" t="s">
        <v>98</v>
      </c>
      <c r="D5" s="12" t="s">
        <v>99</v>
      </c>
      <c r="E5" s="14" t="s">
        <v>57</v>
      </c>
      <c r="F5" s="15" t="n">
        <v>1</v>
      </c>
      <c r="G5" s="15" t="n">
        <v>1</v>
      </c>
      <c r="H5" s="15" t="n">
        <v>1</v>
      </c>
      <c r="I5" s="15" t="n">
        <v>1</v>
      </c>
      <c r="J5" s="15" t="n">
        <v>1</v>
      </c>
      <c r="K5" s="15" t="n">
        <v>1</v>
      </c>
      <c r="L5" s="15" t="n">
        <v>1</v>
      </c>
      <c r="M5" s="15" t="n">
        <v>1</v>
      </c>
      <c r="N5" s="15" t="n">
        <v>1</v>
      </c>
      <c r="O5" s="15" t="n">
        <v>1</v>
      </c>
      <c r="P5" s="15" t="n">
        <v>1</v>
      </c>
      <c r="Q5" s="15" t="n">
        <v>1</v>
      </c>
      <c r="R5" s="15" t="n">
        <v>1</v>
      </c>
      <c r="S5" s="15" t="n">
        <v>1</v>
      </c>
      <c r="T5" s="15" t="n">
        <v>1</v>
      </c>
      <c r="U5" s="15" t="n">
        <v>1</v>
      </c>
      <c r="V5" s="15" t="n">
        <v>1</v>
      </c>
      <c r="W5" s="15" t="n">
        <v>1</v>
      </c>
      <c r="X5" s="15" t="n">
        <v>1</v>
      </c>
      <c r="Y5" s="15" t="n">
        <v>1</v>
      </c>
      <c r="Z5" s="15" t="n">
        <v>1</v>
      </c>
      <c r="AA5" s="15" t="n">
        <v>0</v>
      </c>
      <c r="AB5" s="15" t="n">
        <v>0</v>
      </c>
      <c r="AC5" s="15" t="n">
        <v>0</v>
      </c>
      <c r="AD5" s="15" t="n">
        <v>0</v>
      </c>
      <c r="AE5" s="15" t="n">
        <v>0</v>
      </c>
      <c r="AF5" s="15" t="n">
        <v>0</v>
      </c>
    </row>
    <row r="6" customFormat="false" ht="15" hidden="false" customHeight="false" outlineLevel="0" collapsed="false">
      <c r="A6" s="12" t="s">
        <v>100</v>
      </c>
      <c r="B6" s="13" t="s">
        <v>101</v>
      </c>
      <c r="C6" s="14" t="s">
        <v>98</v>
      </c>
      <c r="D6" s="12" t="s">
        <v>99</v>
      </c>
      <c r="E6" s="14" t="s">
        <v>57</v>
      </c>
      <c r="F6" s="15" t="n">
        <v>1</v>
      </c>
      <c r="G6" s="15" t="n">
        <v>1</v>
      </c>
      <c r="H6" s="15" t="n">
        <v>1</v>
      </c>
      <c r="I6" s="15" t="n">
        <v>1</v>
      </c>
      <c r="J6" s="15" t="n">
        <v>1</v>
      </c>
      <c r="K6" s="15" t="n">
        <v>1</v>
      </c>
      <c r="L6" s="15" t="n">
        <v>1</v>
      </c>
      <c r="M6" s="15" t="n">
        <v>1</v>
      </c>
      <c r="N6" s="15" t="n">
        <v>1</v>
      </c>
      <c r="O6" s="15" t="n">
        <v>1</v>
      </c>
      <c r="P6" s="15" t="n">
        <v>1</v>
      </c>
      <c r="Q6" s="15" t="n">
        <v>1</v>
      </c>
      <c r="R6" s="15" t="n">
        <v>1</v>
      </c>
      <c r="S6" s="15" t="n">
        <v>1</v>
      </c>
      <c r="T6" s="15" t="n">
        <v>1</v>
      </c>
      <c r="U6" s="15" t="n">
        <v>1</v>
      </c>
      <c r="V6" s="15" t="n">
        <v>1</v>
      </c>
      <c r="W6" s="15" t="n">
        <v>0</v>
      </c>
      <c r="X6" s="15" t="n">
        <v>1</v>
      </c>
      <c r="Y6" s="15" t="n">
        <v>1</v>
      </c>
      <c r="Z6" s="15" t="n">
        <v>1</v>
      </c>
      <c r="AA6" s="15" t="n">
        <v>0</v>
      </c>
      <c r="AB6" s="15" t="n">
        <v>1</v>
      </c>
      <c r="AC6" s="15" t="n">
        <v>0</v>
      </c>
      <c r="AD6" s="15" t="n">
        <v>0</v>
      </c>
      <c r="AE6" s="15" t="n">
        <v>0</v>
      </c>
      <c r="AF6" s="15" t="n">
        <v>0</v>
      </c>
    </row>
    <row r="7" customFormat="false" ht="15" hidden="false" customHeight="false" outlineLevel="0" collapsed="false">
      <c r="A7" s="12" t="s">
        <v>102</v>
      </c>
      <c r="B7" s="13" t="s">
        <v>103</v>
      </c>
      <c r="C7" s="14" t="s">
        <v>98</v>
      </c>
      <c r="D7" s="12" t="s">
        <v>99</v>
      </c>
      <c r="E7" s="14" t="s">
        <v>57</v>
      </c>
      <c r="F7" s="15" t="n">
        <v>1</v>
      </c>
      <c r="G7" s="15" t="n">
        <v>1</v>
      </c>
      <c r="H7" s="15" t="n">
        <v>1</v>
      </c>
      <c r="I7" s="15" t="n">
        <v>1</v>
      </c>
      <c r="J7" s="15" t="n">
        <v>1</v>
      </c>
      <c r="K7" s="15" t="n">
        <v>1</v>
      </c>
      <c r="L7" s="15" t="n">
        <v>1</v>
      </c>
      <c r="M7" s="15" t="n">
        <v>1</v>
      </c>
      <c r="N7" s="15" t="n">
        <v>1</v>
      </c>
      <c r="O7" s="15" t="n">
        <v>1</v>
      </c>
      <c r="P7" s="15" t="n">
        <v>1</v>
      </c>
      <c r="Q7" s="15" t="n">
        <v>1</v>
      </c>
      <c r="R7" s="15" t="n">
        <v>1</v>
      </c>
      <c r="S7" s="15" t="n">
        <v>1</v>
      </c>
      <c r="T7" s="15" t="n">
        <v>1</v>
      </c>
      <c r="U7" s="15" t="n">
        <v>1</v>
      </c>
      <c r="V7" s="15" t="n">
        <v>1</v>
      </c>
      <c r="W7" s="15" t="n">
        <v>0</v>
      </c>
      <c r="X7" s="15" t="n">
        <v>1</v>
      </c>
      <c r="Y7" s="15" t="n">
        <v>0</v>
      </c>
      <c r="Z7" s="15" t="n">
        <v>0</v>
      </c>
      <c r="AA7" s="15" t="n">
        <v>1</v>
      </c>
      <c r="AB7" s="15" t="n">
        <v>1</v>
      </c>
      <c r="AC7" s="15" t="n">
        <v>0</v>
      </c>
      <c r="AD7" s="15" t="n">
        <v>0</v>
      </c>
      <c r="AE7" s="15" t="n">
        <v>0</v>
      </c>
      <c r="AF7" s="15" t="n">
        <v>0</v>
      </c>
    </row>
    <row r="8" customFormat="false" ht="15" hidden="false" customHeight="false" outlineLevel="0" collapsed="false">
      <c r="A8" s="12" t="s">
        <v>86</v>
      </c>
      <c r="B8" s="13" t="s">
        <v>104</v>
      </c>
      <c r="C8" s="14" t="s">
        <v>105</v>
      </c>
      <c r="D8" s="12" t="s">
        <v>86</v>
      </c>
      <c r="E8" s="14" t="s">
        <v>57</v>
      </c>
      <c r="F8" s="15" t="n">
        <v>1</v>
      </c>
      <c r="G8" s="15" t="n">
        <v>1</v>
      </c>
      <c r="H8" s="15" t="n">
        <v>1</v>
      </c>
      <c r="I8" s="15" t="n">
        <v>1</v>
      </c>
      <c r="J8" s="15" t="n">
        <v>1</v>
      </c>
      <c r="K8" s="15" t="n">
        <v>1</v>
      </c>
      <c r="L8" s="15" t="n">
        <v>1</v>
      </c>
      <c r="M8" s="15" t="n">
        <v>1</v>
      </c>
      <c r="N8" s="15" t="n">
        <v>1</v>
      </c>
      <c r="O8" s="15" t="n">
        <v>1</v>
      </c>
      <c r="P8" s="15" t="n">
        <v>1</v>
      </c>
      <c r="Q8" s="15" t="n">
        <v>1</v>
      </c>
      <c r="R8" s="15" t="n">
        <v>0</v>
      </c>
      <c r="S8" s="15" t="n">
        <v>1</v>
      </c>
      <c r="T8" s="15" t="n">
        <v>0</v>
      </c>
      <c r="U8" s="15" t="n">
        <v>1</v>
      </c>
      <c r="V8" s="15" t="n">
        <v>1</v>
      </c>
      <c r="W8" s="15" t="n">
        <v>0</v>
      </c>
      <c r="X8" s="15" t="n">
        <v>0</v>
      </c>
      <c r="Y8" s="15" t="n">
        <v>0</v>
      </c>
      <c r="Z8" s="15" t="n">
        <v>0</v>
      </c>
      <c r="AA8" s="15" t="n">
        <v>0</v>
      </c>
      <c r="AB8" s="15" t="n">
        <v>0</v>
      </c>
      <c r="AC8" s="15" t="n">
        <v>0</v>
      </c>
      <c r="AD8" s="15" t="n">
        <v>0</v>
      </c>
      <c r="AE8" s="15" t="n">
        <v>0</v>
      </c>
      <c r="AF8" s="15" t="n">
        <v>1</v>
      </c>
    </row>
    <row r="9" customFormat="false" ht="15" hidden="false" customHeight="false" outlineLevel="0" collapsed="false">
      <c r="A9" s="12" t="s">
        <v>106</v>
      </c>
      <c r="B9" s="13" t="s">
        <v>107</v>
      </c>
      <c r="C9" s="14" t="s">
        <v>108</v>
      </c>
      <c r="D9" s="12" t="s">
        <v>109</v>
      </c>
      <c r="E9" s="14" t="s">
        <v>57</v>
      </c>
      <c r="F9" s="15" t="n">
        <v>1</v>
      </c>
      <c r="G9" s="15" t="n">
        <v>1</v>
      </c>
      <c r="H9" s="15" t="n">
        <v>1</v>
      </c>
      <c r="I9" s="15" t="n">
        <v>1</v>
      </c>
      <c r="J9" s="15" t="n">
        <v>1</v>
      </c>
      <c r="K9" s="15" t="n">
        <v>1</v>
      </c>
      <c r="L9" s="15" t="n">
        <v>1</v>
      </c>
      <c r="M9" s="15" t="n">
        <v>1</v>
      </c>
      <c r="N9" s="15" t="n">
        <v>1</v>
      </c>
      <c r="O9" s="15" t="n">
        <v>1</v>
      </c>
      <c r="P9" s="15" t="n">
        <v>1</v>
      </c>
      <c r="Q9" s="15" t="n">
        <v>1</v>
      </c>
      <c r="R9" s="15" t="n">
        <v>0</v>
      </c>
      <c r="S9" s="15" t="n">
        <v>1</v>
      </c>
      <c r="T9" s="15" t="n">
        <v>0</v>
      </c>
      <c r="U9" s="15" t="n">
        <v>1</v>
      </c>
      <c r="V9" s="15" t="n">
        <v>0</v>
      </c>
      <c r="W9" s="15" t="n">
        <v>1</v>
      </c>
      <c r="X9" s="15" t="n">
        <v>0</v>
      </c>
      <c r="Y9" s="15" t="n">
        <v>1</v>
      </c>
      <c r="Z9" s="15" t="n">
        <v>1</v>
      </c>
      <c r="AA9" s="15" t="n">
        <v>0</v>
      </c>
      <c r="AB9" s="15" t="n">
        <v>0</v>
      </c>
      <c r="AC9" s="15" t="n">
        <v>0</v>
      </c>
      <c r="AD9" s="15" t="n">
        <v>0</v>
      </c>
      <c r="AE9" s="15" t="n">
        <v>0</v>
      </c>
      <c r="AF9" s="15" t="n">
        <v>0</v>
      </c>
    </row>
    <row r="10" customFormat="false" ht="15" hidden="false" customHeight="false" outlineLevel="0" collapsed="false">
      <c r="A10" s="12" t="s">
        <v>60</v>
      </c>
      <c r="B10" s="13" t="s">
        <v>110</v>
      </c>
      <c r="C10" s="14" t="s">
        <v>111</v>
      </c>
      <c r="D10" s="12" t="s">
        <v>112</v>
      </c>
      <c r="E10" s="14" t="s">
        <v>57</v>
      </c>
      <c r="F10" s="15" t="n">
        <v>1</v>
      </c>
      <c r="G10" s="15" t="n">
        <v>1</v>
      </c>
      <c r="H10" s="15" t="n">
        <v>1</v>
      </c>
      <c r="I10" s="15" t="n">
        <v>1</v>
      </c>
      <c r="J10" s="15" t="n">
        <v>1</v>
      </c>
      <c r="K10" s="15" t="n">
        <v>1</v>
      </c>
      <c r="L10" s="15" t="n">
        <v>1</v>
      </c>
      <c r="M10" s="15" t="n">
        <v>1</v>
      </c>
      <c r="N10" s="15" t="n">
        <v>1</v>
      </c>
      <c r="O10" s="15" t="n">
        <v>1</v>
      </c>
      <c r="P10" s="15" t="n">
        <v>1</v>
      </c>
      <c r="Q10" s="15" t="n">
        <v>1</v>
      </c>
      <c r="R10" s="15" t="n">
        <v>1</v>
      </c>
      <c r="S10" s="15" t="n">
        <v>0</v>
      </c>
      <c r="T10" s="15" t="n">
        <v>1</v>
      </c>
      <c r="U10" s="15" t="n">
        <v>0</v>
      </c>
      <c r="V10" s="15" t="n">
        <v>0</v>
      </c>
      <c r="W10" s="15" t="n">
        <v>0</v>
      </c>
      <c r="X10" s="15" t="n">
        <v>0</v>
      </c>
      <c r="Y10" s="15" t="n">
        <v>0</v>
      </c>
      <c r="Z10" s="15" t="n">
        <v>1</v>
      </c>
      <c r="AA10" s="15" t="n">
        <v>0</v>
      </c>
      <c r="AB10" s="15" t="n">
        <v>0</v>
      </c>
      <c r="AC10" s="15" t="n">
        <v>0</v>
      </c>
      <c r="AD10" s="15" t="n">
        <v>0</v>
      </c>
      <c r="AE10" s="15" t="n">
        <v>0</v>
      </c>
      <c r="AF10" s="15" t="n">
        <v>0</v>
      </c>
    </row>
    <row r="11" customFormat="false" ht="15" hidden="false" customHeight="false" outlineLevel="0" collapsed="false">
      <c r="A11" s="12" t="s">
        <v>113</v>
      </c>
      <c r="B11" s="13" t="s">
        <v>114</v>
      </c>
      <c r="C11" s="14" t="s">
        <v>98</v>
      </c>
      <c r="D11" s="12" t="s">
        <v>99</v>
      </c>
      <c r="E11" s="14" t="s">
        <v>57</v>
      </c>
      <c r="F11" s="15" t="n">
        <v>1</v>
      </c>
      <c r="G11" s="15" t="n">
        <v>1</v>
      </c>
      <c r="H11" s="15" t="n">
        <v>1</v>
      </c>
      <c r="I11" s="15" t="n">
        <v>1</v>
      </c>
      <c r="J11" s="15" t="n">
        <v>1</v>
      </c>
      <c r="K11" s="15" t="n">
        <v>1</v>
      </c>
      <c r="L11" s="15" t="n">
        <v>1</v>
      </c>
      <c r="M11" s="15" t="n">
        <v>1</v>
      </c>
      <c r="N11" s="15" t="n">
        <v>1</v>
      </c>
      <c r="O11" s="15" t="n">
        <v>1</v>
      </c>
      <c r="P11" s="15" t="n">
        <v>1</v>
      </c>
      <c r="Q11" s="15" t="n">
        <v>1</v>
      </c>
      <c r="R11" s="15" t="n">
        <v>1</v>
      </c>
      <c r="S11" s="15" t="n">
        <v>0</v>
      </c>
      <c r="T11" s="15" t="n">
        <v>1</v>
      </c>
      <c r="U11" s="15" t="n">
        <v>1</v>
      </c>
      <c r="V11" s="15" t="n">
        <v>0</v>
      </c>
      <c r="W11" s="15" t="n">
        <v>1</v>
      </c>
      <c r="X11" s="15" t="n">
        <v>0</v>
      </c>
      <c r="Y11" s="15" t="n">
        <v>0</v>
      </c>
      <c r="Z11" s="15" t="n">
        <v>1</v>
      </c>
      <c r="AA11" s="15" t="n">
        <v>0</v>
      </c>
      <c r="AB11" s="15" t="n">
        <v>0</v>
      </c>
      <c r="AC11" s="15" t="n">
        <v>0</v>
      </c>
      <c r="AD11" s="15" t="n">
        <v>0</v>
      </c>
      <c r="AE11" s="15" t="n">
        <v>0</v>
      </c>
      <c r="AF11" s="15" t="n">
        <v>0</v>
      </c>
    </row>
    <row r="12" customFormat="false" ht="15" hidden="false" customHeight="false" outlineLevel="0" collapsed="false">
      <c r="A12" s="12" t="s">
        <v>115</v>
      </c>
      <c r="B12" s="13" t="s">
        <v>116</v>
      </c>
      <c r="C12" s="14" t="s">
        <v>98</v>
      </c>
      <c r="D12" s="12" t="s">
        <v>99</v>
      </c>
      <c r="E12" s="14" t="s">
        <v>57</v>
      </c>
      <c r="F12" s="15" t="n">
        <v>1</v>
      </c>
      <c r="G12" s="15" t="n">
        <v>1</v>
      </c>
      <c r="H12" s="15" t="n">
        <v>1</v>
      </c>
      <c r="I12" s="15" t="n">
        <v>1</v>
      </c>
      <c r="J12" s="15" t="n">
        <v>1</v>
      </c>
      <c r="K12" s="15" t="n">
        <v>1</v>
      </c>
      <c r="L12" s="15" t="n">
        <v>1</v>
      </c>
      <c r="M12" s="15" t="n">
        <v>1</v>
      </c>
      <c r="N12" s="15" t="n">
        <v>1</v>
      </c>
      <c r="O12" s="15" t="n">
        <v>1</v>
      </c>
      <c r="P12" s="15" t="n">
        <v>1</v>
      </c>
      <c r="Q12" s="15" t="n">
        <v>1</v>
      </c>
      <c r="R12" s="15" t="n">
        <v>1</v>
      </c>
      <c r="S12" s="15" t="n">
        <v>1</v>
      </c>
      <c r="T12" s="15" t="n">
        <v>1</v>
      </c>
      <c r="U12" s="15" t="n">
        <v>1</v>
      </c>
      <c r="V12" s="15" t="n">
        <v>0</v>
      </c>
      <c r="W12" s="15" t="n">
        <v>0</v>
      </c>
      <c r="X12" s="15" t="n">
        <v>1</v>
      </c>
      <c r="Y12" s="15" t="n">
        <v>0</v>
      </c>
      <c r="Z12" s="15" t="n">
        <v>0</v>
      </c>
      <c r="AA12" s="15" t="n">
        <v>0</v>
      </c>
      <c r="AB12" s="15" t="n">
        <v>1</v>
      </c>
      <c r="AC12" s="15" t="n">
        <v>0</v>
      </c>
      <c r="AD12" s="15" t="n">
        <v>0</v>
      </c>
      <c r="AE12" s="15" t="n">
        <v>0</v>
      </c>
      <c r="AF12" s="15" t="n">
        <v>0</v>
      </c>
    </row>
    <row r="13" customFormat="false" ht="15" hidden="false" customHeight="false" outlineLevel="0" collapsed="false">
      <c r="A13" s="12" t="s">
        <v>117</v>
      </c>
      <c r="B13" s="13" t="s">
        <v>118</v>
      </c>
      <c r="C13" s="14" t="s">
        <v>119</v>
      </c>
      <c r="D13" s="12" t="s">
        <v>120</v>
      </c>
      <c r="E13" s="14" t="s">
        <v>31</v>
      </c>
      <c r="F13" s="15" t="n">
        <v>1</v>
      </c>
      <c r="G13" s="15" t="n">
        <v>1</v>
      </c>
      <c r="H13" s="15" t="n">
        <v>1</v>
      </c>
      <c r="I13" s="15" t="n">
        <v>1</v>
      </c>
      <c r="J13" s="15" t="n">
        <v>1</v>
      </c>
      <c r="K13" s="15" t="n">
        <v>1</v>
      </c>
      <c r="L13" s="15" t="n">
        <v>1</v>
      </c>
      <c r="M13" s="15" t="n">
        <v>1</v>
      </c>
      <c r="N13" s="15" t="n">
        <v>1</v>
      </c>
      <c r="O13" s="15" t="n">
        <v>1</v>
      </c>
      <c r="P13" s="15" t="n">
        <v>1</v>
      </c>
      <c r="Q13" s="15" t="n">
        <v>1</v>
      </c>
      <c r="R13" s="15" t="n">
        <v>0</v>
      </c>
      <c r="S13" s="15" t="n">
        <v>1</v>
      </c>
      <c r="T13" s="15" t="n">
        <v>1</v>
      </c>
      <c r="U13" s="15" t="n">
        <v>0</v>
      </c>
      <c r="V13" s="15" t="n">
        <v>0</v>
      </c>
      <c r="W13" s="15" t="n">
        <v>0</v>
      </c>
      <c r="X13" s="15" t="n">
        <v>0</v>
      </c>
      <c r="Y13" s="15" t="n">
        <v>0</v>
      </c>
      <c r="Z13" s="15" t="n">
        <v>0</v>
      </c>
      <c r="AA13" s="15" t="n">
        <v>0</v>
      </c>
      <c r="AB13" s="15" t="n">
        <v>1</v>
      </c>
      <c r="AC13" s="15" t="n">
        <v>1</v>
      </c>
      <c r="AD13" s="15" t="n">
        <v>1</v>
      </c>
      <c r="AE13" s="15" t="n">
        <v>0</v>
      </c>
      <c r="AF13" s="15" t="n">
        <v>0</v>
      </c>
    </row>
    <row r="14" customFormat="false" ht="15" hidden="false" customHeight="false" outlineLevel="0" collapsed="false">
      <c r="A14" s="12" t="s">
        <v>121</v>
      </c>
      <c r="B14" s="13" t="s">
        <v>122</v>
      </c>
      <c r="C14" s="14" t="s">
        <v>119</v>
      </c>
      <c r="D14" s="12" t="s">
        <v>120</v>
      </c>
      <c r="E14" s="14" t="s">
        <v>31</v>
      </c>
      <c r="F14" s="15" t="n">
        <v>1</v>
      </c>
      <c r="G14" s="15" t="n">
        <v>1</v>
      </c>
      <c r="H14" s="15" t="n">
        <v>1</v>
      </c>
      <c r="I14" s="15" t="n">
        <v>1</v>
      </c>
      <c r="J14" s="15" t="n">
        <v>1</v>
      </c>
      <c r="K14" s="15" t="n">
        <v>1</v>
      </c>
      <c r="L14" s="15" t="n">
        <v>1</v>
      </c>
      <c r="M14" s="15" t="n">
        <v>1</v>
      </c>
      <c r="N14" s="15" t="n">
        <v>1</v>
      </c>
      <c r="O14" s="15" t="n">
        <v>1</v>
      </c>
      <c r="P14" s="15" t="n">
        <v>1</v>
      </c>
      <c r="Q14" s="15" t="n">
        <v>1</v>
      </c>
      <c r="R14" s="15" t="n">
        <v>0</v>
      </c>
      <c r="S14" s="15" t="n">
        <v>1</v>
      </c>
      <c r="T14" s="15" t="n">
        <v>1</v>
      </c>
      <c r="U14" s="15" t="n">
        <v>0</v>
      </c>
      <c r="V14" s="15" t="n">
        <v>0</v>
      </c>
      <c r="W14" s="15" t="n">
        <v>0</v>
      </c>
      <c r="X14" s="15" t="n">
        <v>0</v>
      </c>
      <c r="Y14" s="15" t="n">
        <v>0</v>
      </c>
      <c r="Z14" s="15" t="n">
        <v>0</v>
      </c>
      <c r="AA14" s="15" t="n">
        <v>0</v>
      </c>
      <c r="AB14" s="15" t="n">
        <v>1</v>
      </c>
      <c r="AC14" s="15" t="n">
        <v>1</v>
      </c>
      <c r="AD14" s="15" t="n">
        <v>1</v>
      </c>
      <c r="AE14" s="15" t="n">
        <v>0</v>
      </c>
      <c r="AF14" s="15" t="n">
        <v>0</v>
      </c>
    </row>
    <row r="15" customFormat="false" ht="15" hidden="false" customHeight="false" outlineLevel="0" collapsed="false">
      <c r="A15" s="12" t="s">
        <v>123</v>
      </c>
      <c r="B15" s="13" t="s">
        <v>124</v>
      </c>
      <c r="C15" s="14" t="s">
        <v>125</v>
      </c>
      <c r="D15" s="12" t="s">
        <v>125</v>
      </c>
      <c r="E15" s="14" t="s">
        <v>57</v>
      </c>
      <c r="F15" s="15" t="n">
        <v>1</v>
      </c>
      <c r="G15" s="15" t="n">
        <v>1</v>
      </c>
      <c r="H15" s="15" t="n">
        <v>1</v>
      </c>
      <c r="I15" s="15" t="n">
        <v>1</v>
      </c>
      <c r="J15" s="15" t="n">
        <v>1</v>
      </c>
      <c r="K15" s="15" t="n">
        <v>1</v>
      </c>
      <c r="L15" s="15" t="n">
        <v>1</v>
      </c>
      <c r="M15" s="15" t="n">
        <v>1</v>
      </c>
      <c r="N15" s="15" t="n">
        <v>1</v>
      </c>
      <c r="O15" s="15" t="n">
        <v>1</v>
      </c>
      <c r="P15" s="15" t="n">
        <v>1</v>
      </c>
      <c r="Q15" s="15" t="n">
        <v>1</v>
      </c>
      <c r="R15" s="15" t="n">
        <v>1</v>
      </c>
      <c r="S15" s="15" t="n">
        <v>1</v>
      </c>
      <c r="T15" s="15" t="n">
        <v>1</v>
      </c>
      <c r="U15" s="15" t="n">
        <v>0</v>
      </c>
      <c r="V15" s="15" t="n">
        <v>0</v>
      </c>
      <c r="W15" s="15" t="n">
        <v>0</v>
      </c>
      <c r="X15" s="15" t="n">
        <v>1</v>
      </c>
      <c r="Y15" s="15" t="n">
        <v>0</v>
      </c>
      <c r="Z15" s="15" t="n">
        <v>0</v>
      </c>
      <c r="AA15" s="15" t="n">
        <v>1</v>
      </c>
      <c r="AB15" s="15" t="n">
        <v>1</v>
      </c>
      <c r="AC15" s="15" t="n">
        <v>1</v>
      </c>
      <c r="AD15" s="15" t="n">
        <v>0</v>
      </c>
      <c r="AE15" s="15" t="n">
        <v>0</v>
      </c>
      <c r="AF15" s="15" t="n">
        <v>0</v>
      </c>
    </row>
    <row r="16" customFormat="false" ht="15" hidden="false" customHeight="false" outlineLevel="0" collapsed="false">
      <c r="A16" s="12" t="s">
        <v>126</v>
      </c>
      <c r="B16" s="13" t="s">
        <v>127</v>
      </c>
      <c r="C16" s="14" t="s">
        <v>119</v>
      </c>
      <c r="D16" s="12" t="s">
        <v>120</v>
      </c>
      <c r="E16" s="14" t="s">
        <v>31</v>
      </c>
      <c r="F16" s="15" t="n">
        <v>1</v>
      </c>
      <c r="G16" s="15" t="n">
        <v>1</v>
      </c>
      <c r="H16" s="15" t="n">
        <v>1</v>
      </c>
      <c r="I16" s="15" t="n">
        <v>1</v>
      </c>
      <c r="J16" s="15" t="n">
        <v>1</v>
      </c>
      <c r="K16" s="15" t="n">
        <v>1</v>
      </c>
      <c r="L16" s="15" t="n">
        <v>1</v>
      </c>
      <c r="M16" s="15" t="n">
        <v>1</v>
      </c>
      <c r="N16" s="15" t="n">
        <v>1</v>
      </c>
      <c r="O16" s="15" t="n">
        <v>1</v>
      </c>
      <c r="P16" s="15" t="n">
        <v>1</v>
      </c>
      <c r="Q16" s="15" t="n">
        <v>1</v>
      </c>
      <c r="R16" s="15" t="n">
        <v>0</v>
      </c>
      <c r="S16" s="15" t="n">
        <v>1</v>
      </c>
      <c r="T16" s="15" t="n">
        <v>0</v>
      </c>
      <c r="U16" s="15" t="n">
        <v>1</v>
      </c>
      <c r="V16" s="15" t="n">
        <v>0</v>
      </c>
      <c r="W16" s="15" t="n">
        <v>0</v>
      </c>
      <c r="X16" s="15" t="n">
        <v>0</v>
      </c>
      <c r="Y16" s="15" t="n">
        <v>1</v>
      </c>
      <c r="Z16" s="15" t="n">
        <v>0</v>
      </c>
      <c r="AA16" s="15" t="n">
        <v>0</v>
      </c>
      <c r="AB16" s="15" t="n">
        <v>1</v>
      </c>
      <c r="AC16" s="15" t="n">
        <v>1</v>
      </c>
      <c r="AD16" s="15" t="n">
        <v>0</v>
      </c>
      <c r="AE16" s="15" t="n">
        <v>0</v>
      </c>
      <c r="AF16" s="15" t="n">
        <v>0</v>
      </c>
    </row>
    <row r="17" customFormat="false" ht="15" hidden="false" customHeight="false" outlineLevel="0" collapsed="false">
      <c r="A17" s="12" t="s">
        <v>128</v>
      </c>
      <c r="B17" s="13" t="s">
        <v>129</v>
      </c>
      <c r="C17" s="14" t="s">
        <v>111</v>
      </c>
      <c r="D17" s="12" t="s">
        <v>112</v>
      </c>
      <c r="E17" s="14" t="s">
        <v>57</v>
      </c>
      <c r="F17" s="15" t="n">
        <v>1</v>
      </c>
      <c r="G17" s="15" t="n">
        <v>1</v>
      </c>
      <c r="H17" s="15" t="n">
        <v>1</v>
      </c>
      <c r="I17" s="15" t="n">
        <v>1</v>
      </c>
      <c r="J17" s="15" t="n">
        <v>1</v>
      </c>
      <c r="K17" s="15" t="n">
        <v>1</v>
      </c>
      <c r="L17" s="15" t="n">
        <v>1</v>
      </c>
      <c r="M17" s="15" t="n">
        <v>1</v>
      </c>
      <c r="N17" s="15" t="n">
        <v>1</v>
      </c>
      <c r="O17" s="15" t="n">
        <v>1</v>
      </c>
      <c r="P17" s="15" t="n">
        <v>1</v>
      </c>
      <c r="Q17" s="15" t="n">
        <v>1</v>
      </c>
      <c r="R17" s="15" t="n">
        <v>1</v>
      </c>
      <c r="S17" s="15" t="n">
        <v>1</v>
      </c>
      <c r="T17" s="15" t="n">
        <v>1</v>
      </c>
      <c r="U17" s="15" t="n">
        <v>1</v>
      </c>
      <c r="V17" s="15" t="n">
        <v>1</v>
      </c>
      <c r="W17" s="15" t="n">
        <v>0</v>
      </c>
      <c r="X17" s="15" t="n">
        <v>1</v>
      </c>
      <c r="Y17" s="15" t="n">
        <v>0</v>
      </c>
      <c r="Z17" s="15" t="n">
        <v>0</v>
      </c>
      <c r="AA17" s="15" t="n">
        <v>0</v>
      </c>
      <c r="AB17" s="15" t="n">
        <v>0</v>
      </c>
      <c r="AC17" s="15" t="n">
        <v>0</v>
      </c>
      <c r="AD17" s="15" t="n">
        <v>0</v>
      </c>
      <c r="AE17" s="15" t="n">
        <v>0</v>
      </c>
      <c r="AF17" s="15" t="n">
        <v>1</v>
      </c>
    </row>
  </sheetData>
  <conditionalFormatting sqref="F5:AF17">
    <cfRule type="cellIs" priority="2" operator="equal" aboveAverage="0" equalAverage="0" bottom="0" percent="0" rank="0" text="" dxfId="0">
      <formula>1</formula>
    </cfRule>
    <cfRule type="cellIs" priority="3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4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6" min="5" style="0" width="10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130</v>
      </c>
    </row>
    <row r="2" customFormat="false" ht="15" hidden="false" customHeight="false" outlineLevel="0" collapsed="false">
      <c r="A2" s="5" t="s">
        <v>131</v>
      </c>
    </row>
    <row r="4" customFormat="false" ht="35.05" hidden="false" customHeight="false" outlineLevel="0" collapsed="false">
      <c r="A4" s="2" t="s">
        <v>92</v>
      </c>
      <c r="B4" s="2" t="s">
        <v>132</v>
      </c>
      <c r="C4" s="2" t="s">
        <v>133</v>
      </c>
      <c r="D4" s="2" t="s">
        <v>134</v>
      </c>
      <c r="E4" s="2" t="s">
        <v>135</v>
      </c>
      <c r="F4" s="2" t="s">
        <v>136</v>
      </c>
      <c r="G4" s="2" t="s">
        <v>137</v>
      </c>
    </row>
    <row r="5" customFormat="false" ht="23.85" hidden="false" customHeight="false" outlineLevel="0" collapsed="false">
      <c r="A5" s="16" t="str">
        <f aca="false">Profili!B5</f>
        <v>Restavracija</v>
      </c>
      <c r="B5" s="7" t="str">
        <f aca="false">_xlfn.TEXTJOIN(", ",TRUE(),IF(AND(Profili!R5=1,Zmožnosti!$D$17=2),"Mize",""),IF(AND(Profili!S5=1,Zmožnosti!$D$18=2),"Kuhinja",""),IF(AND(Profili!T5=1,Zmožnosti!$D$19=2),"Točilnica",""),IF(AND(Profili!U5=1,Zmožnosti!$D$20=2),"Pripravljena hrana",""),IF(AND(Profili!V5=1,Zmožnosti!$D$21=2),"Odpadki",""),IF(AND(Profili!W5=1,Zmožnosti!$D$22=2),"Telefonska naročila",""),IF(AND(Profili!X5=1,Zmožnosti!$D$23=2),"Rezervacije",""),IF(AND(Profili!Y5=1,Zmožnosti!$D$24=2),"Dostava",""),IF(AND(Profili!Z5=1,Zmožnosti!$D$25=2),"QR meni",""),IF(AND(Profili!AA5=1,Zmožnosti!$D$26=2),"Večhodni meniji",""),IF(AND(Profili!AB5=1,Zmožnosti!$D$27=2),"Dogodki",""),IF(AND(Profili!AC5=1,Zmožnosti!$D$28=2),"Prenosi zaloge",""),IF(AND(Profili!AD5=1,Zmožnosti!$D$29=2),"Kavcije/boni/žetoni",""),IF(AND(Profili!AE5=1,Zmožnosti!$D$30=2),"Simulacija",""),IF(AND(Profili!AF5=1,Zmožnosti!$D$31=2),"Samopostrežna ponudba",""))</f>
        <v>Mize, Kuhinja, Točilnica, Pripravljena hrana, Odpadki, Telefonska naročila</v>
      </c>
      <c r="C5" s="7" t="str">
        <f aca="false">_xlfn.TEXTJOIN(", ",TRUE(),IF(AND(Profili!R5=1,Zmožnosti!$D$17=3),"Mize",""),IF(AND(Profili!S5=1,Zmožnosti!$D$18=3),"Kuhinja",""),IF(AND(Profili!T5=1,Zmožnosti!$D$19=3),"Točilnica",""),IF(AND(Profili!U5=1,Zmožnosti!$D$20=3),"Pripravljena hrana",""),IF(AND(Profili!V5=1,Zmožnosti!$D$21=3),"Odpadki",""),IF(AND(Profili!W5=1,Zmožnosti!$D$22=3),"Telefonska naročila",""),IF(AND(Profili!X5=1,Zmožnosti!$D$23=3),"Rezervacije",""),IF(AND(Profili!Y5=1,Zmožnosti!$D$24=3),"Dostava",""),IF(AND(Profili!Z5=1,Zmožnosti!$D$25=3),"QR meni",""),IF(AND(Profili!AA5=1,Zmožnosti!$D$26=3),"Večhodni meniji",""),IF(AND(Profili!AB5=1,Zmožnosti!$D$27=3),"Dogodki",""),IF(AND(Profili!AC5=1,Zmožnosti!$D$28=3),"Prenosi zaloge",""),IF(AND(Profili!AD5=1,Zmožnosti!$D$29=3),"Kavcije/boni/žetoni",""),IF(AND(Profili!AE5=1,Zmožnosti!$D$30=3),"Simulacija",""),IF(AND(Profili!AF5=1,Zmožnosti!$D$31=3),"Samopostrežna ponudba",""))</f>
        <v>Rezervacije, Dostava, QR meni</v>
      </c>
      <c r="D5" s="7" t="str">
        <f aca="false">_xlfn.TEXTJOIN(", ",TRUE(),IF(AND(Profili!R5=1,Zmožnosti!$D$17=99),"Mize",""),IF(AND(Profili!S5=1,Zmožnosti!$D$18=99),"Kuhinja",""),IF(AND(Profili!T5=1,Zmožnosti!$D$19=99),"Točilnica",""),IF(AND(Profili!U5=1,Zmožnosti!$D$20=99),"Pripravljena hrana",""),IF(AND(Profili!V5=1,Zmožnosti!$D$21=99),"Odpadki",""),IF(AND(Profili!W5=1,Zmožnosti!$D$22=99),"Telefonska naročila",""),IF(AND(Profili!X5=1,Zmožnosti!$D$23=99),"Rezervacije",""),IF(AND(Profili!Y5=1,Zmožnosti!$D$24=99),"Dostava",""),IF(AND(Profili!Z5=1,Zmožnosti!$D$25=99),"QR meni",""),IF(AND(Profili!AA5=1,Zmožnosti!$D$26=99),"Večhodni meniji",""),IF(AND(Profili!AB5=1,Zmožnosti!$D$27=99),"Dogodki",""),IF(AND(Profili!AC5=1,Zmožnosti!$D$28=99),"Prenosi zaloge",""),IF(AND(Profili!AD5=1,Zmožnosti!$D$29=99),"Kavcije/boni/žetoni",""),IF(AND(Profili!AE5=1,Zmožnosti!$D$30=99),"Simulacija",""),IF(AND(Profili!AF5=1,Zmožnosti!$D$31=99),"Samopostrežna ponudba",""))</f>
        <v/>
      </c>
      <c r="E5" s="9" t="n">
        <f aca="false">(Profili!R5=1)*(Zmožnosti!$D$17=2)+(Profili!S5=1)*(Zmožnosti!$D$18=2)+(Profili!T5=1)*(Zmožnosti!$D$19=2)+(Profili!U5=1)*(Zmožnosti!$D$20=2)+(Profili!V5=1)*(Zmožnosti!$D$21=2)+(Profili!W5=1)*(Zmožnosti!$D$22=2)+(Profili!X5=1)*(Zmožnosti!$D$23=2)+(Profili!Y5=1)*(Zmožnosti!$D$24=2)+(Profili!Z5=1)*(Zmožnosti!$D$25=2)+(Profili!AA5=1)*(Zmožnosti!$D$26=2)+(Profili!AB5=1)*(Zmožnosti!$D$27=2)+(Profili!AC5=1)*(Zmožnosti!$D$28=2)+(Profili!AD5=1)*(Zmožnosti!$D$29=2)+(Profili!AE5=1)*(Zmožnosti!$D$30=2)+(Profili!AF5=1)*(Zmožnosti!$D$31=2)</f>
        <v>6</v>
      </c>
      <c r="F5" s="9" t="n">
        <f aca="false">(Profili!R5=1)*(Zmožnosti!$D$17=3)+(Profili!S5=1)*(Zmožnosti!$D$18=3)+(Profili!T5=1)*(Zmožnosti!$D$19=3)+(Profili!U5=1)*(Zmožnosti!$D$20=3)+(Profili!V5=1)*(Zmožnosti!$D$21=3)+(Profili!W5=1)*(Zmožnosti!$D$22=3)+(Profili!X5=1)*(Zmožnosti!$D$23=3)+(Profili!Y5=1)*(Zmožnosti!$D$24=3)+(Profili!Z5=1)*(Zmožnosti!$D$25=3)+(Profili!AA5=1)*(Zmožnosti!$D$26=3)+(Profili!AB5=1)*(Zmožnosti!$D$27=3)+(Profili!AC5=1)*(Zmožnosti!$D$28=3)+(Profili!AD5=1)*(Zmožnosti!$D$29=3)+(Profili!AE5=1)*(Zmožnosti!$D$30=3)+(Profili!AF5=1)*(Zmožnosti!$D$31=3)</f>
        <v>3</v>
      </c>
      <c r="G5" s="9" t="n">
        <f aca="false">(Profili!R5=1)*(Zmožnosti!$D$17=99)+(Profili!S5=1)*(Zmožnosti!$D$18=99)+(Profili!T5=1)*(Zmožnosti!$D$19=99)+(Profili!U5=1)*(Zmožnosti!$D$20=99)+(Profili!V5=1)*(Zmožnosti!$D$21=99)+(Profili!W5=1)*(Zmožnosti!$D$22=99)+(Profili!X5=1)*(Zmožnosti!$D$23=99)+(Profili!Y5=1)*(Zmožnosti!$D$24=99)+(Profili!Z5=1)*(Zmožnosti!$D$25=99)+(Profili!AA5=1)*(Zmožnosti!$D$26=99)+(Profili!AB5=1)*(Zmožnosti!$D$27=99)+(Profili!AC5=1)*(Zmožnosti!$D$28=99)+(Profili!AD5=1)*(Zmožnosti!$D$29=99)+(Profili!AE5=1)*(Zmožnosti!$D$30=99)+(Profili!AF5=1)*(Zmožnosti!$D$31=99)</f>
        <v>0</v>
      </c>
    </row>
    <row r="6" customFormat="false" ht="15" hidden="false" customHeight="false" outlineLevel="0" collapsed="false">
      <c r="A6" s="16" t="str">
        <f aca="false">Profili!B6</f>
        <v>Gostilna / gostišče</v>
      </c>
      <c r="B6" s="7" t="str">
        <f aca="false">_xlfn.TEXTJOIN(", ",TRUE(),IF(AND(Profili!R6=1,Zmožnosti!$D$17=2),"Mize",""),IF(AND(Profili!S6=1,Zmožnosti!$D$18=2),"Kuhinja",""),IF(AND(Profili!T6=1,Zmožnosti!$D$19=2),"Točilnica",""),IF(AND(Profili!U6=1,Zmožnosti!$D$20=2),"Pripravljena hrana",""),IF(AND(Profili!V6=1,Zmožnosti!$D$21=2),"Odpadki",""),IF(AND(Profili!W6=1,Zmožnosti!$D$22=2),"Telefonska naročila",""),IF(AND(Profili!X6=1,Zmožnosti!$D$23=2),"Rezervacije",""),IF(AND(Profili!Y6=1,Zmožnosti!$D$24=2),"Dostava",""),IF(AND(Profili!Z6=1,Zmožnosti!$D$25=2),"QR meni",""),IF(AND(Profili!AA6=1,Zmožnosti!$D$26=2),"Večhodni meniji",""),IF(AND(Profili!AB6=1,Zmožnosti!$D$27=2),"Dogodki",""),IF(AND(Profili!AC6=1,Zmožnosti!$D$28=2),"Prenosi zaloge",""),IF(AND(Profili!AD6=1,Zmožnosti!$D$29=2),"Kavcije/boni/žetoni",""),IF(AND(Profili!AE6=1,Zmožnosti!$D$30=2),"Simulacija",""),IF(AND(Profili!AF6=1,Zmožnosti!$D$31=2),"Samopostrežna ponudba",""))</f>
        <v>Mize, Kuhinja, Točilnica, Pripravljena hrana, Odpadki</v>
      </c>
      <c r="C6" s="7" t="str">
        <f aca="false">_xlfn.TEXTJOIN(", ",TRUE(),IF(AND(Profili!R6=1,Zmožnosti!$D$17=3),"Mize",""),IF(AND(Profili!S6=1,Zmožnosti!$D$18=3),"Kuhinja",""),IF(AND(Profili!T6=1,Zmožnosti!$D$19=3),"Točilnica",""),IF(AND(Profili!U6=1,Zmožnosti!$D$20=3),"Pripravljena hrana",""),IF(AND(Profili!V6=1,Zmožnosti!$D$21=3),"Odpadki",""),IF(AND(Profili!W6=1,Zmožnosti!$D$22=3),"Telefonska naročila",""),IF(AND(Profili!X6=1,Zmožnosti!$D$23=3),"Rezervacije",""),IF(AND(Profili!Y6=1,Zmožnosti!$D$24=3),"Dostava",""),IF(AND(Profili!Z6=1,Zmožnosti!$D$25=3),"QR meni",""),IF(AND(Profili!AA6=1,Zmožnosti!$D$26=3),"Večhodni meniji",""),IF(AND(Profili!AB6=1,Zmožnosti!$D$27=3),"Dogodki",""),IF(AND(Profili!AC6=1,Zmožnosti!$D$28=3),"Prenosi zaloge",""),IF(AND(Profili!AD6=1,Zmožnosti!$D$29=3),"Kavcije/boni/žetoni",""),IF(AND(Profili!AE6=1,Zmožnosti!$D$30=3),"Simulacija",""),IF(AND(Profili!AF6=1,Zmožnosti!$D$31=3),"Samopostrežna ponudba",""))</f>
        <v>Rezervacije, Dostava, QR meni, Dogodki</v>
      </c>
      <c r="D6" s="7" t="str">
        <f aca="false">_xlfn.TEXTJOIN(", ",TRUE(),IF(AND(Profili!R6=1,Zmožnosti!$D$17=99),"Mize",""),IF(AND(Profili!S6=1,Zmožnosti!$D$18=99),"Kuhinja",""),IF(AND(Profili!T6=1,Zmožnosti!$D$19=99),"Točilnica",""),IF(AND(Profili!U6=1,Zmožnosti!$D$20=99),"Pripravljena hrana",""),IF(AND(Profili!V6=1,Zmožnosti!$D$21=99),"Odpadki",""),IF(AND(Profili!W6=1,Zmožnosti!$D$22=99),"Telefonska naročila",""),IF(AND(Profili!X6=1,Zmožnosti!$D$23=99),"Rezervacije",""),IF(AND(Profili!Y6=1,Zmožnosti!$D$24=99),"Dostava",""),IF(AND(Profili!Z6=1,Zmožnosti!$D$25=99),"QR meni",""),IF(AND(Profili!AA6=1,Zmožnosti!$D$26=99),"Večhodni meniji",""),IF(AND(Profili!AB6=1,Zmožnosti!$D$27=99),"Dogodki",""),IF(AND(Profili!AC6=1,Zmožnosti!$D$28=99),"Prenosi zaloge",""),IF(AND(Profili!AD6=1,Zmožnosti!$D$29=99),"Kavcije/boni/žetoni",""),IF(AND(Profili!AE6=1,Zmožnosti!$D$30=99),"Simulacija",""),IF(AND(Profili!AF6=1,Zmožnosti!$D$31=99),"Samopostrežna ponudba",""))</f>
        <v/>
      </c>
      <c r="E6" s="9" t="n">
        <f aca="false">(Profili!R6=1)*(Zmožnosti!$D$17=2)+(Profili!S6=1)*(Zmožnosti!$D$18=2)+(Profili!T6=1)*(Zmožnosti!$D$19=2)+(Profili!U6=1)*(Zmožnosti!$D$20=2)+(Profili!V6=1)*(Zmožnosti!$D$21=2)+(Profili!W6=1)*(Zmožnosti!$D$22=2)+(Profili!X6=1)*(Zmožnosti!$D$23=2)+(Profili!Y6=1)*(Zmožnosti!$D$24=2)+(Profili!Z6=1)*(Zmožnosti!$D$25=2)+(Profili!AA6=1)*(Zmožnosti!$D$26=2)+(Profili!AB6=1)*(Zmožnosti!$D$27=2)+(Profili!AC6=1)*(Zmožnosti!$D$28=2)+(Profili!AD6=1)*(Zmožnosti!$D$29=2)+(Profili!AE6=1)*(Zmožnosti!$D$30=2)+(Profili!AF6=1)*(Zmožnosti!$D$31=2)</f>
        <v>5</v>
      </c>
      <c r="F6" s="9" t="n">
        <f aca="false">(Profili!R6=1)*(Zmožnosti!$D$17=3)+(Profili!S6=1)*(Zmožnosti!$D$18=3)+(Profili!T6=1)*(Zmožnosti!$D$19=3)+(Profili!U6=1)*(Zmožnosti!$D$20=3)+(Profili!V6=1)*(Zmožnosti!$D$21=3)+(Profili!W6=1)*(Zmožnosti!$D$22=3)+(Profili!X6=1)*(Zmožnosti!$D$23=3)+(Profili!Y6=1)*(Zmožnosti!$D$24=3)+(Profili!Z6=1)*(Zmožnosti!$D$25=3)+(Profili!AA6=1)*(Zmožnosti!$D$26=3)+(Profili!AB6=1)*(Zmožnosti!$D$27=3)+(Profili!AC6=1)*(Zmožnosti!$D$28=3)+(Profili!AD6=1)*(Zmožnosti!$D$29=3)+(Profili!AE6=1)*(Zmožnosti!$D$30=3)+(Profili!AF6=1)*(Zmožnosti!$D$31=3)</f>
        <v>4</v>
      </c>
      <c r="G6" s="9" t="n">
        <f aca="false">(Profili!R6=1)*(Zmožnosti!$D$17=99)+(Profili!S6=1)*(Zmožnosti!$D$18=99)+(Profili!T6=1)*(Zmožnosti!$D$19=99)+(Profili!U6=1)*(Zmožnosti!$D$20=99)+(Profili!V6=1)*(Zmožnosti!$D$21=99)+(Profili!W6=1)*(Zmožnosti!$D$22=99)+(Profili!X6=1)*(Zmožnosti!$D$23=99)+(Profili!Y6=1)*(Zmožnosti!$D$24=99)+(Profili!Z6=1)*(Zmožnosti!$D$25=99)+(Profili!AA6=1)*(Zmožnosti!$D$26=99)+(Profili!AB6=1)*(Zmožnosti!$D$27=99)+(Profili!AC6=1)*(Zmožnosti!$D$28=99)+(Profili!AD6=1)*(Zmožnosti!$D$29=99)+(Profili!AE6=1)*(Zmožnosti!$D$30=99)+(Profili!AF6=1)*(Zmožnosti!$D$31=99)</f>
        <v>0</v>
      </c>
    </row>
    <row r="7" customFormat="false" ht="15" hidden="false" customHeight="false" outlineLevel="0" collapsed="false">
      <c r="A7" s="16" t="str">
        <f aca="false">Profili!B7</f>
        <v>Fine dining</v>
      </c>
      <c r="B7" s="7" t="str">
        <f aca="false">_xlfn.TEXTJOIN(", ",TRUE(),IF(AND(Profili!R7=1,Zmožnosti!$D$17=2),"Mize",""),IF(AND(Profili!S7=1,Zmožnosti!$D$18=2),"Kuhinja",""),IF(AND(Profili!T7=1,Zmožnosti!$D$19=2),"Točilnica",""),IF(AND(Profili!U7=1,Zmožnosti!$D$20=2),"Pripravljena hrana",""),IF(AND(Profili!V7=1,Zmožnosti!$D$21=2),"Odpadki",""),IF(AND(Profili!W7=1,Zmožnosti!$D$22=2),"Telefonska naročila",""),IF(AND(Profili!X7=1,Zmožnosti!$D$23=2),"Rezervacije",""),IF(AND(Profili!Y7=1,Zmožnosti!$D$24=2),"Dostava",""),IF(AND(Profili!Z7=1,Zmožnosti!$D$25=2),"QR meni",""),IF(AND(Profili!AA7=1,Zmožnosti!$D$26=2),"Večhodni meniji",""),IF(AND(Profili!AB7=1,Zmožnosti!$D$27=2),"Dogodki",""),IF(AND(Profili!AC7=1,Zmožnosti!$D$28=2),"Prenosi zaloge",""),IF(AND(Profili!AD7=1,Zmožnosti!$D$29=2),"Kavcije/boni/žetoni",""),IF(AND(Profili!AE7=1,Zmožnosti!$D$30=2),"Simulacija",""),IF(AND(Profili!AF7=1,Zmožnosti!$D$31=2),"Samopostrežna ponudba",""))</f>
        <v>Mize, Kuhinja, Točilnica, Pripravljena hrana, Odpadki</v>
      </c>
      <c r="C7" s="7" t="str">
        <f aca="false">_xlfn.TEXTJOIN(", ",TRUE(),IF(AND(Profili!R7=1,Zmožnosti!$D$17=3),"Mize",""),IF(AND(Profili!S7=1,Zmožnosti!$D$18=3),"Kuhinja",""),IF(AND(Profili!T7=1,Zmožnosti!$D$19=3),"Točilnica",""),IF(AND(Profili!U7=1,Zmožnosti!$D$20=3),"Pripravljena hrana",""),IF(AND(Profili!V7=1,Zmožnosti!$D$21=3),"Odpadki",""),IF(AND(Profili!W7=1,Zmožnosti!$D$22=3),"Telefonska naročila",""),IF(AND(Profili!X7=1,Zmožnosti!$D$23=3),"Rezervacije",""),IF(AND(Profili!Y7=1,Zmožnosti!$D$24=3),"Dostava",""),IF(AND(Profili!Z7=1,Zmožnosti!$D$25=3),"QR meni",""),IF(AND(Profili!AA7=1,Zmožnosti!$D$26=3),"Večhodni meniji",""),IF(AND(Profili!AB7=1,Zmožnosti!$D$27=3),"Dogodki",""),IF(AND(Profili!AC7=1,Zmožnosti!$D$28=3),"Prenosi zaloge",""),IF(AND(Profili!AD7=1,Zmožnosti!$D$29=3),"Kavcije/boni/žetoni",""),IF(AND(Profili!AE7=1,Zmožnosti!$D$30=3),"Simulacija",""),IF(AND(Profili!AF7=1,Zmožnosti!$D$31=3),"Samopostrežna ponudba",""))</f>
        <v>Rezervacije, Večhodni meniji, Dogodki</v>
      </c>
      <c r="D7" s="7" t="str">
        <f aca="false">_xlfn.TEXTJOIN(", ",TRUE(),IF(AND(Profili!R7=1,Zmožnosti!$D$17=99),"Mize",""),IF(AND(Profili!S7=1,Zmožnosti!$D$18=99),"Kuhinja",""),IF(AND(Profili!T7=1,Zmožnosti!$D$19=99),"Točilnica",""),IF(AND(Profili!U7=1,Zmožnosti!$D$20=99),"Pripravljena hrana",""),IF(AND(Profili!V7=1,Zmožnosti!$D$21=99),"Odpadki",""),IF(AND(Profili!W7=1,Zmožnosti!$D$22=99),"Telefonska naročila",""),IF(AND(Profili!X7=1,Zmožnosti!$D$23=99),"Rezervacije",""),IF(AND(Profili!Y7=1,Zmožnosti!$D$24=99),"Dostava",""),IF(AND(Profili!Z7=1,Zmožnosti!$D$25=99),"QR meni",""),IF(AND(Profili!AA7=1,Zmožnosti!$D$26=99),"Večhodni meniji",""),IF(AND(Profili!AB7=1,Zmožnosti!$D$27=99),"Dogodki",""),IF(AND(Profili!AC7=1,Zmožnosti!$D$28=99),"Prenosi zaloge",""),IF(AND(Profili!AD7=1,Zmožnosti!$D$29=99),"Kavcije/boni/žetoni",""),IF(AND(Profili!AE7=1,Zmožnosti!$D$30=99),"Simulacija",""),IF(AND(Profili!AF7=1,Zmožnosti!$D$31=99),"Samopostrežna ponudba",""))</f>
        <v/>
      </c>
      <c r="E7" s="9" t="n">
        <f aca="false">(Profili!R7=1)*(Zmožnosti!$D$17=2)+(Profili!S7=1)*(Zmožnosti!$D$18=2)+(Profili!T7=1)*(Zmožnosti!$D$19=2)+(Profili!U7=1)*(Zmožnosti!$D$20=2)+(Profili!V7=1)*(Zmožnosti!$D$21=2)+(Profili!W7=1)*(Zmožnosti!$D$22=2)+(Profili!X7=1)*(Zmožnosti!$D$23=2)+(Profili!Y7=1)*(Zmožnosti!$D$24=2)+(Profili!Z7=1)*(Zmožnosti!$D$25=2)+(Profili!AA7=1)*(Zmožnosti!$D$26=2)+(Profili!AB7=1)*(Zmožnosti!$D$27=2)+(Profili!AC7=1)*(Zmožnosti!$D$28=2)+(Profili!AD7=1)*(Zmožnosti!$D$29=2)+(Profili!AE7=1)*(Zmožnosti!$D$30=2)+(Profili!AF7=1)*(Zmožnosti!$D$31=2)</f>
        <v>5</v>
      </c>
      <c r="F7" s="9" t="n">
        <f aca="false">(Profili!R7=1)*(Zmožnosti!$D$17=3)+(Profili!S7=1)*(Zmožnosti!$D$18=3)+(Profili!T7=1)*(Zmožnosti!$D$19=3)+(Profili!U7=1)*(Zmožnosti!$D$20=3)+(Profili!V7=1)*(Zmožnosti!$D$21=3)+(Profili!W7=1)*(Zmožnosti!$D$22=3)+(Profili!X7=1)*(Zmožnosti!$D$23=3)+(Profili!Y7=1)*(Zmožnosti!$D$24=3)+(Profili!Z7=1)*(Zmožnosti!$D$25=3)+(Profili!AA7=1)*(Zmožnosti!$D$26=3)+(Profili!AB7=1)*(Zmožnosti!$D$27=3)+(Profili!AC7=1)*(Zmožnosti!$D$28=3)+(Profili!AD7=1)*(Zmožnosti!$D$29=3)+(Profili!AE7=1)*(Zmožnosti!$D$30=3)+(Profili!AF7=1)*(Zmožnosti!$D$31=3)</f>
        <v>3</v>
      </c>
      <c r="G7" s="9" t="n">
        <f aca="false">(Profili!R7=1)*(Zmožnosti!$D$17=99)+(Profili!S7=1)*(Zmožnosti!$D$18=99)+(Profili!T7=1)*(Zmožnosti!$D$19=99)+(Profili!U7=1)*(Zmožnosti!$D$20=99)+(Profili!V7=1)*(Zmožnosti!$D$21=99)+(Profili!W7=1)*(Zmožnosti!$D$22=99)+(Profili!X7=1)*(Zmožnosti!$D$23=99)+(Profili!Y7=1)*(Zmožnosti!$D$24=99)+(Profili!Z7=1)*(Zmožnosti!$D$25=99)+(Profili!AA7=1)*(Zmožnosti!$D$26=99)+(Profili!AB7=1)*(Zmožnosti!$D$27=99)+(Profili!AC7=1)*(Zmožnosti!$D$28=99)+(Profili!AD7=1)*(Zmožnosti!$D$29=99)+(Profili!AE7=1)*(Zmožnosti!$D$30=99)+(Profili!AF7=1)*(Zmožnosti!$D$31=99)</f>
        <v>0</v>
      </c>
    </row>
    <row r="8" customFormat="false" ht="15" hidden="false" customHeight="false" outlineLevel="0" collapsed="false">
      <c r="A8" s="16" t="str">
        <f aca="false">Profili!B8</f>
        <v>Samopostrežna restavracija</v>
      </c>
      <c r="B8" s="7" t="str">
        <f aca="false">_xlfn.TEXTJOIN(", ",TRUE(),IF(AND(Profili!R8=1,Zmožnosti!$D$17=2),"Mize",""),IF(AND(Profili!S8=1,Zmožnosti!$D$18=2),"Kuhinja",""),IF(AND(Profili!T8=1,Zmožnosti!$D$19=2),"Točilnica",""),IF(AND(Profili!U8=1,Zmožnosti!$D$20=2),"Pripravljena hrana",""),IF(AND(Profili!V8=1,Zmožnosti!$D$21=2),"Odpadki",""),IF(AND(Profili!W8=1,Zmožnosti!$D$22=2),"Telefonska naročila",""),IF(AND(Profili!X8=1,Zmožnosti!$D$23=2),"Rezervacije",""),IF(AND(Profili!Y8=1,Zmožnosti!$D$24=2),"Dostava",""),IF(AND(Profili!Z8=1,Zmožnosti!$D$25=2),"QR meni",""),IF(AND(Profili!AA8=1,Zmožnosti!$D$26=2),"Večhodni meniji",""),IF(AND(Profili!AB8=1,Zmožnosti!$D$27=2),"Dogodki",""),IF(AND(Profili!AC8=1,Zmožnosti!$D$28=2),"Prenosi zaloge",""),IF(AND(Profili!AD8=1,Zmožnosti!$D$29=2),"Kavcije/boni/žetoni",""),IF(AND(Profili!AE8=1,Zmožnosti!$D$30=2),"Simulacija",""),IF(AND(Profili!AF8=1,Zmožnosti!$D$31=2),"Samopostrežna ponudba",""))</f>
        <v>Kuhinja, Pripravljena hrana, Odpadki</v>
      </c>
      <c r="C8" s="7" t="str">
        <f aca="false">_xlfn.TEXTJOIN(", ",TRUE(),IF(AND(Profili!R8=1,Zmožnosti!$D$17=3),"Mize",""),IF(AND(Profili!S8=1,Zmožnosti!$D$18=3),"Kuhinja",""),IF(AND(Profili!T8=1,Zmožnosti!$D$19=3),"Točilnica",""),IF(AND(Profili!U8=1,Zmožnosti!$D$20=3),"Pripravljena hrana",""),IF(AND(Profili!V8=1,Zmožnosti!$D$21=3),"Odpadki",""),IF(AND(Profili!W8=1,Zmožnosti!$D$22=3),"Telefonska naročila",""),IF(AND(Profili!X8=1,Zmožnosti!$D$23=3),"Rezervacije",""),IF(AND(Profili!Y8=1,Zmožnosti!$D$24=3),"Dostava",""),IF(AND(Profili!Z8=1,Zmožnosti!$D$25=3),"QR meni",""),IF(AND(Profili!AA8=1,Zmožnosti!$D$26=3),"Večhodni meniji",""),IF(AND(Profili!AB8=1,Zmožnosti!$D$27=3),"Dogodki",""),IF(AND(Profili!AC8=1,Zmožnosti!$D$28=3),"Prenosi zaloge",""),IF(AND(Profili!AD8=1,Zmožnosti!$D$29=3),"Kavcije/boni/žetoni",""),IF(AND(Profili!AE8=1,Zmožnosti!$D$30=3),"Simulacija",""),IF(AND(Profili!AF8=1,Zmožnosti!$D$31=3),"Samopostrežna ponudba",""))</f>
        <v/>
      </c>
      <c r="D8" s="7" t="str">
        <f aca="false">_xlfn.TEXTJOIN(", ",TRUE(),IF(AND(Profili!R8=1,Zmožnosti!$D$17=99),"Mize",""),IF(AND(Profili!S8=1,Zmožnosti!$D$18=99),"Kuhinja",""),IF(AND(Profili!T8=1,Zmožnosti!$D$19=99),"Točilnica",""),IF(AND(Profili!U8=1,Zmožnosti!$D$20=99),"Pripravljena hrana",""),IF(AND(Profili!V8=1,Zmožnosti!$D$21=99),"Odpadki",""),IF(AND(Profili!W8=1,Zmožnosti!$D$22=99),"Telefonska naročila",""),IF(AND(Profili!X8=1,Zmožnosti!$D$23=99),"Rezervacije",""),IF(AND(Profili!Y8=1,Zmožnosti!$D$24=99),"Dostava",""),IF(AND(Profili!Z8=1,Zmožnosti!$D$25=99),"QR meni",""),IF(AND(Profili!AA8=1,Zmožnosti!$D$26=99),"Večhodni meniji",""),IF(AND(Profili!AB8=1,Zmožnosti!$D$27=99),"Dogodki",""),IF(AND(Profili!AC8=1,Zmožnosti!$D$28=99),"Prenosi zaloge",""),IF(AND(Profili!AD8=1,Zmožnosti!$D$29=99),"Kavcije/boni/žetoni",""),IF(AND(Profili!AE8=1,Zmožnosti!$D$30=99),"Simulacija",""),IF(AND(Profili!AF8=1,Zmožnosti!$D$31=99),"Samopostrežna ponudba",""))</f>
        <v>Samopostrežna ponudba</v>
      </c>
      <c r="E8" s="9" t="n">
        <f aca="false">(Profili!R8=1)*(Zmožnosti!$D$17=2)+(Profili!S8=1)*(Zmožnosti!$D$18=2)+(Profili!T8=1)*(Zmožnosti!$D$19=2)+(Profili!U8=1)*(Zmožnosti!$D$20=2)+(Profili!V8=1)*(Zmožnosti!$D$21=2)+(Profili!W8=1)*(Zmožnosti!$D$22=2)+(Profili!X8=1)*(Zmožnosti!$D$23=2)+(Profili!Y8=1)*(Zmožnosti!$D$24=2)+(Profili!Z8=1)*(Zmožnosti!$D$25=2)+(Profili!AA8=1)*(Zmožnosti!$D$26=2)+(Profili!AB8=1)*(Zmožnosti!$D$27=2)+(Profili!AC8=1)*(Zmožnosti!$D$28=2)+(Profili!AD8=1)*(Zmožnosti!$D$29=2)+(Profili!AE8=1)*(Zmožnosti!$D$30=2)+(Profili!AF8=1)*(Zmožnosti!$D$31=2)</f>
        <v>3</v>
      </c>
      <c r="F8" s="9" t="n">
        <f aca="false">(Profili!R8=1)*(Zmožnosti!$D$17=3)+(Profili!S8=1)*(Zmožnosti!$D$18=3)+(Profili!T8=1)*(Zmožnosti!$D$19=3)+(Profili!U8=1)*(Zmožnosti!$D$20=3)+(Profili!V8=1)*(Zmožnosti!$D$21=3)+(Profili!W8=1)*(Zmožnosti!$D$22=3)+(Profili!X8=1)*(Zmožnosti!$D$23=3)+(Profili!Y8=1)*(Zmožnosti!$D$24=3)+(Profili!Z8=1)*(Zmožnosti!$D$25=3)+(Profili!AA8=1)*(Zmožnosti!$D$26=3)+(Profili!AB8=1)*(Zmožnosti!$D$27=3)+(Profili!AC8=1)*(Zmožnosti!$D$28=3)+(Profili!AD8=1)*(Zmožnosti!$D$29=3)+(Profili!AE8=1)*(Zmožnosti!$D$30=3)+(Profili!AF8=1)*(Zmožnosti!$D$31=3)</f>
        <v>0</v>
      </c>
      <c r="G8" s="9" t="n">
        <f aca="false">(Profili!R8=1)*(Zmožnosti!$D$17=99)+(Profili!S8=1)*(Zmožnosti!$D$18=99)+(Profili!T8=1)*(Zmožnosti!$D$19=99)+(Profili!U8=1)*(Zmožnosti!$D$20=99)+(Profili!V8=1)*(Zmožnosti!$D$21=99)+(Profili!W8=1)*(Zmožnosti!$D$22=99)+(Profili!X8=1)*(Zmožnosti!$D$23=99)+(Profili!Y8=1)*(Zmožnosti!$D$24=99)+(Profili!Z8=1)*(Zmožnosti!$D$25=99)+(Profili!AA8=1)*(Zmožnosti!$D$26=99)+(Profili!AB8=1)*(Zmožnosti!$D$27=99)+(Profili!AC8=1)*(Zmožnosti!$D$28=99)+(Profili!AD8=1)*(Zmožnosti!$D$29=99)+(Profili!AE8=1)*(Zmožnosti!$D$30=99)+(Profili!AF8=1)*(Zmožnosti!$D$31=99)</f>
        <v>1</v>
      </c>
    </row>
    <row r="9" customFormat="false" ht="15" hidden="false" customHeight="false" outlineLevel="0" collapsed="false">
      <c r="A9" s="16" t="str">
        <f aca="false">Profili!B9</f>
        <v>Hitra prehrana / kiosk</v>
      </c>
      <c r="B9" s="7" t="str">
        <f aca="false">_xlfn.TEXTJOIN(", ",TRUE(),IF(AND(Profili!R9=1,Zmožnosti!$D$17=2),"Mize",""),IF(AND(Profili!S9=1,Zmožnosti!$D$18=2),"Kuhinja",""),IF(AND(Profili!T9=1,Zmožnosti!$D$19=2),"Točilnica",""),IF(AND(Profili!U9=1,Zmožnosti!$D$20=2),"Pripravljena hrana",""),IF(AND(Profili!V9=1,Zmožnosti!$D$21=2),"Odpadki",""),IF(AND(Profili!W9=1,Zmožnosti!$D$22=2),"Telefonska naročila",""),IF(AND(Profili!X9=1,Zmožnosti!$D$23=2),"Rezervacije",""),IF(AND(Profili!Y9=1,Zmožnosti!$D$24=2),"Dostava",""),IF(AND(Profili!Z9=1,Zmožnosti!$D$25=2),"QR meni",""),IF(AND(Profili!AA9=1,Zmožnosti!$D$26=2),"Večhodni meniji",""),IF(AND(Profili!AB9=1,Zmožnosti!$D$27=2),"Dogodki",""),IF(AND(Profili!AC9=1,Zmožnosti!$D$28=2),"Prenosi zaloge",""),IF(AND(Profili!AD9=1,Zmožnosti!$D$29=2),"Kavcije/boni/žetoni",""),IF(AND(Profili!AE9=1,Zmožnosti!$D$30=2),"Simulacija",""),IF(AND(Profili!AF9=1,Zmožnosti!$D$31=2),"Samopostrežna ponudba",""))</f>
        <v>Kuhinja, Pripravljena hrana, Telefonska naročila</v>
      </c>
      <c r="C9" s="7" t="str">
        <f aca="false">_xlfn.TEXTJOIN(", ",TRUE(),IF(AND(Profili!R9=1,Zmožnosti!$D$17=3),"Mize",""),IF(AND(Profili!S9=1,Zmožnosti!$D$18=3),"Kuhinja",""),IF(AND(Profili!T9=1,Zmožnosti!$D$19=3),"Točilnica",""),IF(AND(Profili!U9=1,Zmožnosti!$D$20=3),"Pripravljena hrana",""),IF(AND(Profili!V9=1,Zmožnosti!$D$21=3),"Odpadki",""),IF(AND(Profili!W9=1,Zmožnosti!$D$22=3),"Telefonska naročila",""),IF(AND(Profili!X9=1,Zmožnosti!$D$23=3),"Rezervacije",""),IF(AND(Profili!Y9=1,Zmožnosti!$D$24=3),"Dostava",""),IF(AND(Profili!Z9=1,Zmožnosti!$D$25=3),"QR meni",""),IF(AND(Profili!AA9=1,Zmožnosti!$D$26=3),"Večhodni meniji",""),IF(AND(Profili!AB9=1,Zmožnosti!$D$27=3),"Dogodki",""),IF(AND(Profili!AC9=1,Zmožnosti!$D$28=3),"Prenosi zaloge",""),IF(AND(Profili!AD9=1,Zmožnosti!$D$29=3),"Kavcije/boni/žetoni",""),IF(AND(Profili!AE9=1,Zmožnosti!$D$30=3),"Simulacija",""),IF(AND(Profili!AF9=1,Zmožnosti!$D$31=3),"Samopostrežna ponudba",""))</f>
        <v>Dostava, QR meni</v>
      </c>
      <c r="D9" s="7" t="str">
        <f aca="false">_xlfn.TEXTJOIN(", ",TRUE(),IF(AND(Profili!R9=1,Zmožnosti!$D$17=99),"Mize",""),IF(AND(Profili!S9=1,Zmožnosti!$D$18=99),"Kuhinja",""),IF(AND(Profili!T9=1,Zmožnosti!$D$19=99),"Točilnica",""),IF(AND(Profili!U9=1,Zmožnosti!$D$20=99),"Pripravljena hrana",""),IF(AND(Profili!V9=1,Zmožnosti!$D$21=99),"Odpadki",""),IF(AND(Profili!W9=1,Zmožnosti!$D$22=99),"Telefonska naročila",""),IF(AND(Profili!X9=1,Zmožnosti!$D$23=99),"Rezervacije",""),IF(AND(Profili!Y9=1,Zmožnosti!$D$24=99),"Dostava",""),IF(AND(Profili!Z9=1,Zmožnosti!$D$25=99),"QR meni",""),IF(AND(Profili!AA9=1,Zmožnosti!$D$26=99),"Večhodni meniji",""),IF(AND(Profili!AB9=1,Zmožnosti!$D$27=99),"Dogodki",""),IF(AND(Profili!AC9=1,Zmožnosti!$D$28=99),"Prenosi zaloge",""),IF(AND(Profili!AD9=1,Zmožnosti!$D$29=99),"Kavcije/boni/žetoni",""),IF(AND(Profili!AE9=1,Zmožnosti!$D$30=99),"Simulacija",""),IF(AND(Profili!AF9=1,Zmožnosti!$D$31=99),"Samopostrežna ponudba",""))</f>
        <v/>
      </c>
      <c r="E9" s="9" t="n">
        <f aca="false">(Profili!R9=1)*(Zmožnosti!$D$17=2)+(Profili!S9=1)*(Zmožnosti!$D$18=2)+(Profili!T9=1)*(Zmožnosti!$D$19=2)+(Profili!U9=1)*(Zmožnosti!$D$20=2)+(Profili!V9=1)*(Zmožnosti!$D$21=2)+(Profili!W9=1)*(Zmožnosti!$D$22=2)+(Profili!X9=1)*(Zmožnosti!$D$23=2)+(Profili!Y9=1)*(Zmožnosti!$D$24=2)+(Profili!Z9=1)*(Zmožnosti!$D$25=2)+(Profili!AA9=1)*(Zmožnosti!$D$26=2)+(Profili!AB9=1)*(Zmožnosti!$D$27=2)+(Profili!AC9=1)*(Zmožnosti!$D$28=2)+(Profili!AD9=1)*(Zmožnosti!$D$29=2)+(Profili!AE9=1)*(Zmožnosti!$D$30=2)+(Profili!AF9=1)*(Zmožnosti!$D$31=2)</f>
        <v>3</v>
      </c>
      <c r="F9" s="9" t="n">
        <f aca="false">(Profili!R9=1)*(Zmožnosti!$D$17=3)+(Profili!S9=1)*(Zmožnosti!$D$18=3)+(Profili!T9=1)*(Zmožnosti!$D$19=3)+(Profili!U9=1)*(Zmožnosti!$D$20=3)+(Profili!V9=1)*(Zmožnosti!$D$21=3)+(Profili!W9=1)*(Zmožnosti!$D$22=3)+(Profili!X9=1)*(Zmožnosti!$D$23=3)+(Profili!Y9=1)*(Zmožnosti!$D$24=3)+(Profili!Z9=1)*(Zmožnosti!$D$25=3)+(Profili!AA9=1)*(Zmožnosti!$D$26=3)+(Profili!AB9=1)*(Zmožnosti!$D$27=3)+(Profili!AC9=1)*(Zmožnosti!$D$28=3)+(Profili!AD9=1)*(Zmožnosti!$D$29=3)+(Profili!AE9=1)*(Zmožnosti!$D$30=3)+(Profili!AF9=1)*(Zmožnosti!$D$31=3)</f>
        <v>2</v>
      </c>
      <c r="G9" s="9" t="n">
        <f aca="false">(Profili!R9=1)*(Zmožnosti!$D$17=99)+(Profili!S9=1)*(Zmožnosti!$D$18=99)+(Profili!T9=1)*(Zmožnosti!$D$19=99)+(Profili!U9=1)*(Zmožnosti!$D$20=99)+(Profili!V9=1)*(Zmožnosti!$D$21=99)+(Profili!W9=1)*(Zmožnosti!$D$22=99)+(Profili!X9=1)*(Zmožnosti!$D$23=99)+(Profili!Y9=1)*(Zmožnosti!$D$24=99)+(Profili!Z9=1)*(Zmožnosti!$D$25=99)+(Profili!AA9=1)*(Zmožnosti!$D$26=99)+(Profili!AB9=1)*(Zmožnosti!$D$27=99)+(Profili!AC9=1)*(Zmožnosti!$D$28=99)+(Profili!AD9=1)*(Zmožnosti!$D$29=99)+(Profili!AE9=1)*(Zmožnosti!$D$30=99)+(Profili!AF9=1)*(Zmožnosti!$D$31=99)</f>
        <v>0</v>
      </c>
    </row>
    <row r="10" customFormat="false" ht="15" hidden="false" customHeight="false" outlineLevel="0" collapsed="false">
      <c r="A10" s="16" t="str">
        <f aca="false">Profili!B10</f>
        <v>Bar / bife / pub</v>
      </c>
      <c r="B10" s="7" t="str">
        <f aca="false">_xlfn.TEXTJOIN(", ",TRUE(),IF(AND(Profili!R10=1,Zmožnosti!$D$17=2),"Mize",""),IF(AND(Profili!S10=1,Zmožnosti!$D$18=2),"Kuhinja",""),IF(AND(Profili!T10=1,Zmožnosti!$D$19=2),"Točilnica",""),IF(AND(Profili!U10=1,Zmožnosti!$D$20=2),"Pripravljena hrana",""),IF(AND(Profili!V10=1,Zmožnosti!$D$21=2),"Odpadki",""),IF(AND(Profili!W10=1,Zmožnosti!$D$22=2),"Telefonska naročila",""),IF(AND(Profili!X10=1,Zmožnosti!$D$23=2),"Rezervacije",""),IF(AND(Profili!Y10=1,Zmožnosti!$D$24=2),"Dostava",""),IF(AND(Profili!Z10=1,Zmožnosti!$D$25=2),"QR meni",""),IF(AND(Profili!AA10=1,Zmožnosti!$D$26=2),"Večhodni meniji",""),IF(AND(Profili!AB10=1,Zmožnosti!$D$27=2),"Dogodki",""),IF(AND(Profili!AC10=1,Zmožnosti!$D$28=2),"Prenosi zaloge",""),IF(AND(Profili!AD10=1,Zmožnosti!$D$29=2),"Kavcije/boni/žetoni",""),IF(AND(Profili!AE10=1,Zmožnosti!$D$30=2),"Simulacija",""),IF(AND(Profili!AF10=1,Zmožnosti!$D$31=2),"Samopostrežna ponudba",""))</f>
        <v>Mize, Točilnica</v>
      </c>
      <c r="C10" s="7" t="str">
        <f aca="false">_xlfn.TEXTJOIN(", ",TRUE(),IF(AND(Profili!R10=1,Zmožnosti!$D$17=3),"Mize",""),IF(AND(Profili!S10=1,Zmožnosti!$D$18=3),"Kuhinja",""),IF(AND(Profili!T10=1,Zmožnosti!$D$19=3),"Točilnica",""),IF(AND(Profili!U10=1,Zmožnosti!$D$20=3),"Pripravljena hrana",""),IF(AND(Profili!V10=1,Zmožnosti!$D$21=3),"Odpadki",""),IF(AND(Profili!W10=1,Zmožnosti!$D$22=3),"Telefonska naročila",""),IF(AND(Profili!X10=1,Zmožnosti!$D$23=3),"Rezervacije",""),IF(AND(Profili!Y10=1,Zmožnosti!$D$24=3),"Dostava",""),IF(AND(Profili!Z10=1,Zmožnosti!$D$25=3),"QR meni",""),IF(AND(Profili!AA10=1,Zmožnosti!$D$26=3),"Večhodni meniji",""),IF(AND(Profili!AB10=1,Zmožnosti!$D$27=3),"Dogodki",""),IF(AND(Profili!AC10=1,Zmožnosti!$D$28=3),"Prenosi zaloge",""),IF(AND(Profili!AD10=1,Zmožnosti!$D$29=3),"Kavcije/boni/žetoni",""),IF(AND(Profili!AE10=1,Zmožnosti!$D$30=3),"Simulacija",""),IF(AND(Profili!AF10=1,Zmožnosti!$D$31=3),"Samopostrežna ponudba",""))</f>
        <v>QR meni</v>
      </c>
      <c r="D10" s="7" t="str">
        <f aca="false">_xlfn.TEXTJOIN(", ",TRUE(),IF(AND(Profili!R10=1,Zmožnosti!$D$17=99),"Mize",""),IF(AND(Profili!S10=1,Zmožnosti!$D$18=99),"Kuhinja",""),IF(AND(Profili!T10=1,Zmožnosti!$D$19=99),"Točilnica",""),IF(AND(Profili!U10=1,Zmožnosti!$D$20=99),"Pripravljena hrana",""),IF(AND(Profili!V10=1,Zmožnosti!$D$21=99),"Odpadki",""),IF(AND(Profili!W10=1,Zmožnosti!$D$22=99),"Telefonska naročila",""),IF(AND(Profili!X10=1,Zmožnosti!$D$23=99),"Rezervacije",""),IF(AND(Profili!Y10=1,Zmožnosti!$D$24=99),"Dostava",""),IF(AND(Profili!Z10=1,Zmožnosti!$D$25=99),"QR meni",""),IF(AND(Profili!AA10=1,Zmožnosti!$D$26=99),"Večhodni meniji",""),IF(AND(Profili!AB10=1,Zmožnosti!$D$27=99),"Dogodki",""),IF(AND(Profili!AC10=1,Zmožnosti!$D$28=99),"Prenosi zaloge",""),IF(AND(Profili!AD10=1,Zmožnosti!$D$29=99),"Kavcije/boni/žetoni",""),IF(AND(Profili!AE10=1,Zmožnosti!$D$30=99),"Simulacija",""),IF(AND(Profili!AF10=1,Zmožnosti!$D$31=99),"Samopostrežna ponudba",""))</f>
        <v/>
      </c>
      <c r="E10" s="9" t="n">
        <f aca="false">(Profili!R10=1)*(Zmožnosti!$D$17=2)+(Profili!S10=1)*(Zmožnosti!$D$18=2)+(Profili!T10=1)*(Zmožnosti!$D$19=2)+(Profili!U10=1)*(Zmožnosti!$D$20=2)+(Profili!V10=1)*(Zmožnosti!$D$21=2)+(Profili!W10=1)*(Zmožnosti!$D$22=2)+(Profili!X10=1)*(Zmožnosti!$D$23=2)+(Profili!Y10=1)*(Zmožnosti!$D$24=2)+(Profili!Z10=1)*(Zmožnosti!$D$25=2)+(Profili!AA10=1)*(Zmožnosti!$D$26=2)+(Profili!AB10=1)*(Zmožnosti!$D$27=2)+(Profili!AC10=1)*(Zmožnosti!$D$28=2)+(Profili!AD10=1)*(Zmožnosti!$D$29=2)+(Profili!AE10=1)*(Zmožnosti!$D$30=2)+(Profili!AF10=1)*(Zmožnosti!$D$31=2)</f>
        <v>2</v>
      </c>
      <c r="F10" s="9" t="n">
        <f aca="false">(Profili!R10=1)*(Zmožnosti!$D$17=3)+(Profili!S10=1)*(Zmožnosti!$D$18=3)+(Profili!T10=1)*(Zmožnosti!$D$19=3)+(Profili!U10=1)*(Zmožnosti!$D$20=3)+(Profili!V10=1)*(Zmožnosti!$D$21=3)+(Profili!W10=1)*(Zmožnosti!$D$22=3)+(Profili!X10=1)*(Zmožnosti!$D$23=3)+(Profili!Y10=1)*(Zmožnosti!$D$24=3)+(Profili!Z10=1)*(Zmožnosti!$D$25=3)+(Profili!AA10=1)*(Zmožnosti!$D$26=3)+(Profili!AB10=1)*(Zmožnosti!$D$27=3)+(Profili!AC10=1)*(Zmožnosti!$D$28=3)+(Profili!AD10=1)*(Zmožnosti!$D$29=3)+(Profili!AE10=1)*(Zmožnosti!$D$30=3)+(Profili!AF10=1)*(Zmožnosti!$D$31=3)</f>
        <v>1</v>
      </c>
      <c r="G10" s="9" t="n">
        <f aca="false">(Profili!R10=1)*(Zmožnosti!$D$17=99)+(Profili!S10=1)*(Zmožnosti!$D$18=99)+(Profili!T10=1)*(Zmožnosti!$D$19=99)+(Profili!U10=1)*(Zmožnosti!$D$20=99)+(Profili!V10=1)*(Zmožnosti!$D$21=99)+(Profili!W10=1)*(Zmožnosti!$D$22=99)+(Profili!X10=1)*(Zmožnosti!$D$23=99)+(Profili!Y10=1)*(Zmožnosti!$D$24=99)+(Profili!Z10=1)*(Zmožnosti!$D$25=99)+(Profili!AA10=1)*(Zmožnosti!$D$26=99)+(Profili!AB10=1)*(Zmožnosti!$D$27=99)+(Profili!AC10=1)*(Zmožnosti!$D$28=99)+(Profili!AD10=1)*(Zmožnosti!$D$29=99)+(Profili!AE10=1)*(Zmožnosti!$D$30=99)+(Profili!AF10=1)*(Zmožnosti!$D$31=99)</f>
        <v>0</v>
      </c>
    </row>
    <row r="11" customFormat="false" ht="23.85" hidden="false" customHeight="false" outlineLevel="0" collapsed="false">
      <c r="A11" s="16" t="str">
        <f aca="false">Profili!B11</f>
        <v>Kavarna / slaščičarna</v>
      </c>
      <c r="B11" s="7" t="str">
        <f aca="false">_xlfn.TEXTJOIN(", ",TRUE(),IF(AND(Profili!R11=1,Zmožnosti!$D$17=2),"Mize",""),IF(AND(Profili!S11=1,Zmožnosti!$D$18=2),"Kuhinja",""),IF(AND(Profili!T11=1,Zmožnosti!$D$19=2),"Točilnica",""),IF(AND(Profili!U11=1,Zmožnosti!$D$20=2),"Pripravljena hrana",""),IF(AND(Profili!V11=1,Zmožnosti!$D$21=2),"Odpadki",""),IF(AND(Profili!W11=1,Zmožnosti!$D$22=2),"Telefonska naročila",""),IF(AND(Profili!X11=1,Zmožnosti!$D$23=2),"Rezervacije",""),IF(AND(Profili!Y11=1,Zmožnosti!$D$24=2),"Dostava",""),IF(AND(Profili!Z11=1,Zmožnosti!$D$25=2),"QR meni",""),IF(AND(Profili!AA11=1,Zmožnosti!$D$26=2),"Večhodni meniji",""),IF(AND(Profili!AB11=1,Zmožnosti!$D$27=2),"Dogodki",""),IF(AND(Profili!AC11=1,Zmožnosti!$D$28=2),"Prenosi zaloge",""),IF(AND(Profili!AD11=1,Zmožnosti!$D$29=2),"Kavcije/boni/žetoni",""),IF(AND(Profili!AE11=1,Zmožnosti!$D$30=2),"Simulacija",""),IF(AND(Profili!AF11=1,Zmožnosti!$D$31=2),"Samopostrežna ponudba",""))</f>
        <v>Mize, Točilnica, Pripravljena hrana, Telefonska naročila</v>
      </c>
      <c r="C11" s="7" t="str">
        <f aca="false">_xlfn.TEXTJOIN(", ",TRUE(),IF(AND(Profili!R11=1,Zmožnosti!$D$17=3),"Mize",""),IF(AND(Profili!S11=1,Zmožnosti!$D$18=3),"Kuhinja",""),IF(AND(Profili!T11=1,Zmožnosti!$D$19=3),"Točilnica",""),IF(AND(Profili!U11=1,Zmožnosti!$D$20=3),"Pripravljena hrana",""),IF(AND(Profili!V11=1,Zmožnosti!$D$21=3),"Odpadki",""),IF(AND(Profili!W11=1,Zmožnosti!$D$22=3),"Telefonska naročila",""),IF(AND(Profili!X11=1,Zmožnosti!$D$23=3),"Rezervacije",""),IF(AND(Profili!Y11=1,Zmožnosti!$D$24=3),"Dostava",""),IF(AND(Profili!Z11=1,Zmožnosti!$D$25=3),"QR meni",""),IF(AND(Profili!AA11=1,Zmožnosti!$D$26=3),"Večhodni meniji",""),IF(AND(Profili!AB11=1,Zmožnosti!$D$27=3),"Dogodki",""),IF(AND(Profili!AC11=1,Zmožnosti!$D$28=3),"Prenosi zaloge",""),IF(AND(Profili!AD11=1,Zmožnosti!$D$29=3),"Kavcije/boni/žetoni",""),IF(AND(Profili!AE11=1,Zmožnosti!$D$30=3),"Simulacija",""),IF(AND(Profili!AF11=1,Zmožnosti!$D$31=3),"Samopostrežna ponudba",""))</f>
        <v>QR meni</v>
      </c>
      <c r="D11" s="7" t="str">
        <f aca="false">_xlfn.TEXTJOIN(", ",TRUE(),IF(AND(Profili!R11=1,Zmožnosti!$D$17=99),"Mize",""),IF(AND(Profili!S11=1,Zmožnosti!$D$18=99),"Kuhinja",""),IF(AND(Profili!T11=1,Zmožnosti!$D$19=99),"Točilnica",""),IF(AND(Profili!U11=1,Zmožnosti!$D$20=99),"Pripravljena hrana",""),IF(AND(Profili!V11=1,Zmožnosti!$D$21=99),"Odpadki",""),IF(AND(Profili!W11=1,Zmožnosti!$D$22=99),"Telefonska naročila",""),IF(AND(Profili!X11=1,Zmožnosti!$D$23=99),"Rezervacije",""),IF(AND(Profili!Y11=1,Zmožnosti!$D$24=99),"Dostava",""),IF(AND(Profili!Z11=1,Zmožnosti!$D$25=99),"QR meni",""),IF(AND(Profili!AA11=1,Zmožnosti!$D$26=99),"Večhodni meniji",""),IF(AND(Profili!AB11=1,Zmožnosti!$D$27=99),"Dogodki",""),IF(AND(Profili!AC11=1,Zmožnosti!$D$28=99),"Prenosi zaloge",""),IF(AND(Profili!AD11=1,Zmožnosti!$D$29=99),"Kavcije/boni/žetoni",""),IF(AND(Profili!AE11=1,Zmožnosti!$D$30=99),"Simulacija",""),IF(AND(Profili!AF11=1,Zmožnosti!$D$31=99),"Samopostrežna ponudba",""))</f>
        <v/>
      </c>
      <c r="E11" s="9" t="n">
        <f aca="false">(Profili!R11=1)*(Zmožnosti!$D$17=2)+(Profili!S11=1)*(Zmožnosti!$D$18=2)+(Profili!T11=1)*(Zmožnosti!$D$19=2)+(Profili!U11=1)*(Zmožnosti!$D$20=2)+(Profili!V11=1)*(Zmožnosti!$D$21=2)+(Profili!W11=1)*(Zmožnosti!$D$22=2)+(Profili!X11=1)*(Zmožnosti!$D$23=2)+(Profili!Y11=1)*(Zmožnosti!$D$24=2)+(Profili!Z11=1)*(Zmožnosti!$D$25=2)+(Profili!AA11=1)*(Zmožnosti!$D$26=2)+(Profili!AB11=1)*(Zmožnosti!$D$27=2)+(Profili!AC11=1)*(Zmožnosti!$D$28=2)+(Profili!AD11=1)*(Zmožnosti!$D$29=2)+(Profili!AE11=1)*(Zmožnosti!$D$30=2)+(Profili!AF11=1)*(Zmožnosti!$D$31=2)</f>
        <v>4</v>
      </c>
      <c r="F11" s="9" t="n">
        <f aca="false">(Profili!R11=1)*(Zmožnosti!$D$17=3)+(Profili!S11=1)*(Zmožnosti!$D$18=3)+(Profili!T11=1)*(Zmožnosti!$D$19=3)+(Profili!U11=1)*(Zmožnosti!$D$20=3)+(Profili!V11=1)*(Zmožnosti!$D$21=3)+(Profili!W11=1)*(Zmožnosti!$D$22=3)+(Profili!X11=1)*(Zmožnosti!$D$23=3)+(Profili!Y11=1)*(Zmožnosti!$D$24=3)+(Profili!Z11=1)*(Zmožnosti!$D$25=3)+(Profili!AA11=1)*(Zmožnosti!$D$26=3)+(Profili!AB11=1)*(Zmožnosti!$D$27=3)+(Profili!AC11=1)*(Zmožnosti!$D$28=3)+(Profili!AD11=1)*(Zmožnosti!$D$29=3)+(Profili!AE11=1)*(Zmožnosti!$D$30=3)+(Profili!AF11=1)*(Zmožnosti!$D$31=3)</f>
        <v>1</v>
      </c>
      <c r="G11" s="9" t="n">
        <f aca="false">(Profili!R11=1)*(Zmožnosti!$D$17=99)+(Profili!S11=1)*(Zmožnosti!$D$18=99)+(Profili!T11=1)*(Zmožnosti!$D$19=99)+(Profili!U11=1)*(Zmožnosti!$D$20=99)+(Profili!V11=1)*(Zmožnosti!$D$21=99)+(Profili!W11=1)*(Zmožnosti!$D$22=99)+(Profili!X11=1)*(Zmožnosti!$D$23=99)+(Profili!Y11=1)*(Zmožnosti!$D$24=99)+(Profili!Z11=1)*(Zmožnosti!$D$25=99)+(Profili!AA11=1)*(Zmožnosti!$D$26=99)+(Profili!AB11=1)*(Zmožnosti!$D$27=99)+(Profili!AC11=1)*(Zmožnosti!$D$28=99)+(Profili!AD11=1)*(Zmožnosti!$D$29=99)+(Profili!AE11=1)*(Zmožnosti!$D$30=99)+(Profili!AF11=1)*(Zmožnosti!$D$31=99)</f>
        <v>0</v>
      </c>
    </row>
    <row r="12" customFormat="false" ht="15" hidden="false" customHeight="false" outlineLevel="0" collapsed="false">
      <c r="A12" s="16" t="str">
        <f aca="false">Profili!B12</f>
        <v>Turistična kmetija / osmica</v>
      </c>
      <c r="B12" s="7" t="str">
        <f aca="false">_xlfn.TEXTJOIN(", ",TRUE(),IF(AND(Profili!R12=1,Zmožnosti!$D$17=2),"Mize",""),IF(AND(Profili!S12=1,Zmožnosti!$D$18=2),"Kuhinja",""),IF(AND(Profili!T12=1,Zmožnosti!$D$19=2),"Točilnica",""),IF(AND(Profili!U12=1,Zmožnosti!$D$20=2),"Pripravljena hrana",""),IF(AND(Profili!V12=1,Zmožnosti!$D$21=2),"Odpadki",""),IF(AND(Profili!W12=1,Zmožnosti!$D$22=2),"Telefonska naročila",""),IF(AND(Profili!X12=1,Zmožnosti!$D$23=2),"Rezervacije",""),IF(AND(Profili!Y12=1,Zmožnosti!$D$24=2),"Dostava",""),IF(AND(Profili!Z12=1,Zmožnosti!$D$25=2),"QR meni",""),IF(AND(Profili!AA12=1,Zmožnosti!$D$26=2),"Večhodni meniji",""),IF(AND(Profili!AB12=1,Zmožnosti!$D$27=2),"Dogodki",""),IF(AND(Profili!AC12=1,Zmožnosti!$D$28=2),"Prenosi zaloge",""),IF(AND(Profili!AD12=1,Zmožnosti!$D$29=2),"Kavcije/boni/žetoni",""),IF(AND(Profili!AE12=1,Zmožnosti!$D$30=2),"Simulacija",""),IF(AND(Profili!AF12=1,Zmožnosti!$D$31=2),"Samopostrežna ponudba",""))</f>
        <v>Mize, Kuhinja, Točilnica, Pripravljena hrana</v>
      </c>
      <c r="C12" s="7" t="str">
        <f aca="false">_xlfn.TEXTJOIN(", ",TRUE(),IF(AND(Profili!R12=1,Zmožnosti!$D$17=3),"Mize",""),IF(AND(Profili!S12=1,Zmožnosti!$D$18=3),"Kuhinja",""),IF(AND(Profili!T12=1,Zmožnosti!$D$19=3),"Točilnica",""),IF(AND(Profili!U12=1,Zmožnosti!$D$20=3),"Pripravljena hrana",""),IF(AND(Profili!V12=1,Zmožnosti!$D$21=3),"Odpadki",""),IF(AND(Profili!W12=1,Zmožnosti!$D$22=3),"Telefonska naročila",""),IF(AND(Profili!X12=1,Zmožnosti!$D$23=3),"Rezervacije",""),IF(AND(Profili!Y12=1,Zmožnosti!$D$24=3),"Dostava",""),IF(AND(Profili!Z12=1,Zmožnosti!$D$25=3),"QR meni",""),IF(AND(Profili!AA12=1,Zmožnosti!$D$26=3),"Večhodni meniji",""),IF(AND(Profili!AB12=1,Zmožnosti!$D$27=3),"Dogodki",""),IF(AND(Profili!AC12=1,Zmožnosti!$D$28=3),"Prenosi zaloge",""),IF(AND(Profili!AD12=1,Zmožnosti!$D$29=3),"Kavcije/boni/žetoni",""),IF(AND(Profili!AE12=1,Zmožnosti!$D$30=3),"Simulacija",""),IF(AND(Profili!AF12=1,Zmožnosti!$D$31=3),"Samopostrežna ponudba",""))</f>
        <v>Rezervacije, Dogodki</v>
      </c>
      <c r="D12" s="7" t="str">
        <f aca="false">_xlfn.TEXTJOIN(", ",TRUE(),IF(AND(Profili!R12=1,Zmožnosti!$D$17=99),"Mize",""),IF(AND(Profili!S12=1,Zmožnosti!$D$18=99),"Kuhinja",""),IF(AND(Profili!T12=1,Zmožnosti!$D$19=99),"Točilnica",""),IF(AND(Profili!U12=1,Zmožnosti!$D$20=99),"Pripravljena hrana",""),IF(AND(Profili!V12=1,Zmožnosti!$D$21=99),"Odpadki",""),IF(AND(Profili!W12=1,Zmožnosti!$D$22=99),"Telefonska naročila",""),IF(AND(Profili!X12=1,Zmožnosti!$D$23=99),"Rezervacije",""),IF(AND(Profili!Y12=1,Zmožnosti!$D$24=99),"Dostava",""),IF(AND(Profili!Z12=1,Zmožnosti!$D$25=99),"QR meni",""),IF(AND(Profili!AA12=1,Zmožnosti!$D$26=99),"Večhodni meniji",""),IF(AND(Profili!AB12=1,Zmožnosti!$D$27=99),"Dogodki",""),IF(AND(Profili!AC12=1,Zmožnosti!$D$28=99),"Prenosi zaloge",""),IF(AND(Profili!AD12=1,Zmožnosti!$D$29=99),"Kavcije/boni/žetoni",""),IF(AND(Profili!AE12=1,Zmožnosti!$D$30=99),"Simulacija",""),IF(AND(Profili!AF12=1,Zmožnosti!$D$31=99),"Samopostrežna ponudba",""))</f>
        <v/>
      </c>
      <c r="E12" s="9" t="n">
        <f aca="false">(Profili!R12=1)*(Zmožnosti!$D$17=2)+(Profili!S12=1)*(Zmožnosti!$D$18=2)+(Profili!T12=1)*(Zmožnosti!$D$19=2)+(Profili!U12=1)*(Zmožnosti!$D$20=2)+(Profili!V12=1)*(Zmožnosti!$D$21=2)+(Profili!W12=1)*(Zmožnosti!$D$22=2)+(Profili!X12=1)*(Zmožnosti!$D$23=2)+(Profili!Y12=1)*(Zmožnosti!$D$24=2)+(Profili!Z12=1)*(Zmožnosti!$D$25=2)+(Profili!AA12=1)*(Zmožnosti!$D$26=2)+(Profili!AB12=1)*(Zmožnosti!$D$27=2)+(Profili!AC12=1)*(Zmožnosti!$D$28=2)+(Profili!AD12=1)*(Zmožnosti!$D$29=2)+(Profili!AE12=1)*(Zmožnosti!$D$30=2)+(Profili!AF12=1)*(Zmožnosti!$D$31=2)</f>
        <v>4</v>
      </c>
      <c r="F12" s="9" t="n">
        <f aca="false">(Profili!R12=1)*(Zmožnosti!$D$17=3)+(Profili!S12=1)*(Zmožnosti!$D$18=3)+(Profili!T12=1)*(Zmožnosti!$D$19=3)+(Profili!U12=1)*(Zmožnosti!$D$20=3)+(Profili!V12=1)*(Zmožnosti!$D$21=3)+(Profili!W12=1)*(Zmožnosti!$D$22=3)+(Profili!X12=1)*(Zmožnosti!$D$23=3)+(Profili!Y12=1)*(Zmožnosti!$D$24=3)+(Profili!Z12=1)*(Zmožnosti!$D$25=3)+(Profili!AA12=1)*(Zmožnosti!$D$26=3)+(Profili!AB12=1)*(Zmožnosti!$D$27=3)+(Profili!AC12=1)*(Zmožnosti!$D$28=3)+(Profili!AD12=1)*(Zmožnosti!$D$29=3)+(Profili!AE12=1)*(Zmožnosti!$D$30=3)+(Profili!AF12=1)*(Zmožnosti!$D$31=3)</f>
        <v>2</v>
      </c>
      <c r="G12" s="9" t="n">
        <f aca="false">(Profili!R12=1)*(Zmožnosti!$D$17=99)+(Profili!S12=1)*(Zmožnosti!$D$18=99)+(Profili!T12=1)*(Zmožnosti!$D$19=99)+(Profili!U12=1)*(Zmožnosti!$D$20=99)+(Profili!V12=1)*(Zmožnosti!$D$21=99)+(Profili!W12=1)*(Zmožnosti!$D$22=99)+(Profili!X12=1)*(Zmožnosti!$D$23=99)+(Profili!Y12=1)*(Zmožnosti!$D$24=99)+(Profili!Z12=1)*(Zmožnosti!$D$25=99)+(Profili!AA12=1)*(Zmožnosti!$D$26=99)+(Profili!AB12=1)*(Zmožnosti!$D$27=99)+(Profili!AC12=1)*(Zmožnosti!$D$28=99)+(Profili!AD12=1)*(Zmožnosti!$D$29=99)+(Profili!AE12=1)*(Zmožnosti!$D$30=99)+(Profili!AF12=1)*(Zmožnosti!$D$31=99)</f>
        <v>0</v>
      </c>
    </row>
    <row r="13" customFormat="false" ht="15" hidden="false" customHeight="false" outlineLevel="0" collapsed="false">
      <c r="A13" s="16" t="str">
        <f aca="false">Profili!B13</f>
        <v>Društvo / veselica</v>
      </c>
      <c r="B13" s="7" t="str">
        <f aca="false">_xlfn.TEXTJOIN(", ",TRUE(),IF(AND(Profili!R13=1,Zmožnosti!$D$17=2),"Mize",""),IF(AND(Profili!S13=1,Zmožnosti!$D$18=2),"Kuhinja",""),IF(AND(Profili!T13=1,Zmožnosti!$D$19=2),"Točilnica",""),IF(AND(Profili!U13=1,Zmožnosti!$D$20=2),"Pripravljena hrana",""),IF(AND(Profili!V13=1,Zmožnosti!$D$21=2),"Odpadki",""),IF(AND(Profili!W13=1,Zmožnosti!$D$22=2),"Telefonska naročila",""),IF(AND(Profili!X13=1,Zmožnosti!$D$23=2),"Rezervacije",""),IF(AND(Profili!Y13=1,Zmožnosti!$D$24=2),"Dostava",""),IF(AND(Profili!Z13=1,Zmožnosti!$D$25=2),"QR meni",""),IF(AND(Profili!AA13=1,Zmožnosti!$D$26=2),"Večhodni meniji",""),IF(AND(Profili!AB13=1,Zmožnosti!$D$27=2),"Dogodki",""),IF(AND(Profili!AC13=1,Zmožnosti!$D$28=2),"Prenosi zaloge",""),IF(AND(Profili!AD13=1,Zmožnosti!$D$29=2),"Kavcije/boni/žetoni",""),IF(AND(Profili!AE13=1,Zmožnosti!$D$30=2),"Simulacija",""),IF(AND(Profili!AF13=1,Zmožnosti!$D$31=2),"Samopostrežna ponudba",""))</f>
        <v>Kuhinja, Točilnica</v>
      </c>
      <c r="C13" s="7" t="str">
        <f aca="false">_xlfn.TEXTJOIN(", ",TRUE(),IF(AND(Profili!R13=1,Zmožnosti!$D$17=3),"Mize",""),IF(AND(Profili!S13=1,Zmožnosti!$D$18=3),"Kuhinja",""),IF(AND(Profili!T13=1,Zmožnosti!$D$19=3),"Točilnica",""),IF(AND(Profili!U13=1,Zmožnosti!$D$20=3),"Pripravljena hrana",""),IF(AND(Profili!V13=1,Zmožnosti!$D$21=3),"Odpadki",""),IF(AND(Profili!W13=1,Zmožnosti!$D$22=3),"Telefonska naročila",""),IF(AND(Profili!X13=1,Zmožnosti!$D$23=3),"Rezervacije",""),IF(AND(Profili!Y13=1,Zmožnosti!$D$24=3),"Dostava",""),IF(AND(Profili!Z13=1,Zmožnosti!$D$25=3),"QR meni",""),IF(AND(Profili!AA13=1,Zmožnosti!$D$26=3),"Večhodni meniji",""),IF(AND(Profili!AB13=1,Zmožnosti!$D$27=3),"Dogodki",""),IF(AND(Profili!AC13=1,Zmožnosti!$D$28=3),"Prenosi zaloge",""),IF(AND(Profili!AD13=1,Zmožnosti!$D$29=3),"Kavcije/boni/žetoni",""),IF(AND(Profili!AE13=1,Zmožnosti!$D$30=3),"Simulacija",""),IF(AND(Profili!AF13=1,Zmožnosti!$D$31=3),"Samopostrežna ponudba",""))</f>
        <v>Dogodki, Prenosi zaloge, Kavcije/boni/žetoni</v>
      </c>
      <c r="D13" s="7" t="str">
        <f aca="false">_xlfn.TEXTJOIN(", ",TRUE(),IF(AND(Profili!R13=1,Zmožnosti!$D$17=99),"Mize",""),IF(AND(Profili!S13=1,Zmožnosti!$D$18=99),"Kuhinja",""),IF(AND(Profili!T13=1,Zmožnosti!$D$19=99),"Točilnica",""),IF(AND(Profili!U13=1,Zmožnosti!$D$20=99),"Pripravljena hrana",""),IF(AND(Profili!V13=1,Zmožnosti!$D$21=99),"Odpadki",""),IF(AND(Profili!W13=1,Zmožnosti!$D$22=99),"Telefonska naročila",""),IF(AND(Profili!X13=1,Zmožnosti!$D$23=99),"Rezervacije",""),IF(AND(Profili!Y13=1,Zmožnosti!$D$24=99),"Dostava",""),IF(AND(Profili!Z13=1,Zmožnosti!$D$25=99),"QR meni",""),IF(AND(Profili!AA13=1,Zmožnosti!$D$26=99),"Večhodni meniji",""),IF(AND(Profili!AB13=1,Zmožnosti!$D$27=99),"Dogodki",""),IF(AND(Profili!AC13=1,Zmožnosti!$D$28=99),"Prenosi zaloge",""),IF(AND(Profili!AD13=1,Zmožnosti!$D$29=99),"Kavcije/boni/žetoni",""),IF(AND(Profili!AE13=1,Zmožnosti!$D$30=99),"Simulacija",""),IF(AND(Profili!AF13=1,Zmožnosti!$D$31=99),"Samopostrežna ponudba",""))</f>
        <v/>
      </c>
      <c r="E13" s="9" t="n">
        <f aca="false">(Profili!R13=1)*(Zmožnosti!$D$17=2)+(Profili!S13=1)*(Zmožnosti!$D$18=2)+(Profili!T13=1)*(Zmožnosti!$D$19=2)+(Profili!U13=1)*(Zmožnosti!$D$20=2)+(Profili!V13=1)*(Zmožnosti!$D$21=2)+(Profili!W13=1)*(Zmožnosti!$D$22=2)+(Profili!X13=1)*(Zmožnosti!$D$23=2)+(Profili!Y13=1)*(Zmožnosti!$D$24=2)+(Profili!Z13=1)*(Zmožnosti!$D$25=2)+(Profili!AA13=1)*(Zmožnosti!$D$26=2)+(Profili!AB13=1)*(Zmožnosti!$D$27=2)+(Profili!AC13=1)*(Zmožnosti!$D$28=2)+(Profili!AD13=1)*(Zmožnosti!$D$29=2)+(Profili!AE13=1)*(Zmožnosti!$D$30=2)+(Profili!AF13=1)*(Zmožnosti!$D$31=2)</f>
        <v>2</v>
      </c>
      <c r="F13" s="9" t="n">
        <f aca="false">(Profili!R13=1)*(Zmožnosti!$D$17=3)+(Profili!S13=1)*(Zmožnosti!$D$18=3)+(Profili!T13=1)*(Zmožnosti!$D$19=3)+(Profili!U13=1)*(Zmožnosti!$D$20=3)+(Profili!V13=1)*(Zmožnosti!$D$21=3)+(Profili!W13=1)*(Zmožnosti!$D$22=3)+(Profili!X13=1)*(Zmožnosti!$D$23=3)+(Profili!Y13=1)*(Zmožnosti!$D$24=3)+(Profili!Z13=1)*(Zmožnosti!$D$25=3)+(Profili!AA13=1)*(Zmožnosti!$D$26=3)+(Profili!AB13=1)*(Zmožnosti!$D$27=3)+(Profili!AC13=1)*(Zmožnosti!$D$28=3)+(Profili!AD13=1)*(Zmožnosti!$D$29=3)+(Profili!AE13=1)*(Zmožnosti!$D$30=3)+(Profili!AF13=1)*(Zmožnosti!$D$31=3)</f>
        <v>3</v>
      </c>
      <c r="G13" s="9" t="n">
        <f aca="false">(Profili!R13=1)*(Zmožnosti!$D$17=99)+(Profili!S13=1)*(Zmožnosti!$D$18=99)+(Profili!T13=1)*(Zmožnosti!$D$19=99)+(Profili!U13=1)*(Zmožnosti!$D$20=99)+(Profili!V13=1)*(Zmožnosti!$D$21=99)+(Profili!W13=1)*(Zmožnosti!$D$22=99)+(Profili!X13=1)*(Zmožnosti!$D$23=99)+(Profili!Y13=1)*(Zmožnosti!$D$24=99)+(Profili!Z13=1)*(Zmožnosti!$D$25=99)+(Profili!AA13=1)*(Zmožnosti!$D$26=99)+(Profili!AB13=1)*(Zmožnosti!$D$27=99)+(Profili!AC13=1)*(Zmožnosti!$D$28=99)+(Profili!AD13=1)*(Zmožnosti!$D$29=99)+(Profili!AE13=1)*(Zmožnosti!$D$30=99)+(Profili!AF13=1)*(Zmožnosti!$D$31=99)</f>
        <v>0</v>
      </c>
    </row>
    <row r="14" customFormat="false" ht="15" hidden="false" customHeight="false" outlineLevel="0" collapsed="false">
      <c r="A14" s="16" t="str">
        <f aca="false">Profili!B14</f>
        <v>Prireditvena stojnica</v>
      </c>
      <c r="B14" s="7" t="str">
        <f aca="false">_xlfn.TEXTJOIN(", ",TRUE(),IF(AND(Profili!R14=1,Zmožnosti!$D$17=2),"Mize",""),IF(AND(Profili!S14=1,Zmožnosti!$D$18=2),"Kuhinja",""),IF(AND(Profili!T14=1,Zmožnosti!$D$19=2),"Točilnica",""),IF(AND(Profili!U14=1,Zmožnosti!$D$20=2),"Pripravljena hrana",""),IF(AND(Profili!V14=1,Zmožnosti!$D$21=2),"Odpadki",""),IF(AND(Profili!W14=1,Zmožnosti!$D$22=2),"Telefonska naročila",""),IF(AND(Profili!X14=1,Zmožnosti!$D$23=2),"Rezervacije",""),IF(AND(Profili!Y14=1,Zmožnosti!$D$24=2),"Dostava",""),IF(AND(Profili!Z14=1,Zmožnosti!$D$25=2),"QR meni",""),IF(AND(Profili!AA14=1,Zmožnosti!$D$26=2),"Večhodni meniji",""),IF(AND(Profili!AB14=1,Zmožnosti!$D$27=2),"Dogodki",""),IF(AND(Profili!AC14=1,Zmožnosti!$D$28=2),"Prenosi zaloge",""),IF(AND(Profili!AD14=1,Zmožnosti!$D$29=2),"Kavcije/boni/žetoni",""),IF(AND(Profili!AE14=1,Zmožnosti!$D$30=2),"Simulacija",""),IF(AND(Profili!AF14=1,Zmožnosti!$D$31=2),"Samopostrežna ponudba",""))</f>
        <v>Kuhinja, Točilnica</v>
      </c>
      <c r="C14" s="7" t="str">
        <f aca="false">_xlfn.TEXTJOIN(", ",TRUE(),IF(AND(Profili!R14=1,Zmožnosti!$D$17=3),"Mize",""),IF(AND(Profili!S14=1,Zmožnosti!$D$18=3),"Kuhinja",""),IF(AND(Profili!T14=1,Zmožnosti!$D$19=3),"Točilnica",""),IF(AND(Profili!U14=1,Zmožnosti!$D$20=3),"Pripravljena hrana",""),IF(AND(Profili!V14=1,Zmožnosti!$D$21=3),"Odpadki",""),IF(AND(Profili!W14=1,Zmožnosti!$D$22=3),"Telefonska naročila",""),IF(AND(Profili!X14=1,Zmožnosti!$D$23=3),"Rezervacije",""),IF(AND(Profili!Y14=1,Zmožnosti!$D$24=3),"Dostava",""),IF(AND(Profili!Z14=1,Zmožnosti!$D$25=3),"QR meni",""),IF(AND(Profili!AA14=1,Zmožnosti!$D$26=3),"Večhodni meniji",""),IF(AND(Profili!AB14=1,Zmožnosti!$D$27=3),"Dogodki",""),IF(AND(Profili!AC14=1,Zmožnosti!$D$28=3),"Prenosi zaloge",""),IF(AND(Profili!AD14=1,Zmožnosti!$D$29=3),"Kavcije/boni/žetoni",""),IF(AND(Profili!AE14=1,Zmožnosti!$D$30=3),"Simulacija",""),IF(AND(Profili!AF14=1,Zmožnosti!$D$31=3),"Samopostrežna ponudba",""))</f>
        <v>Dogodki, Prenosi zaloge, Kavcije/boni/žetoni</v>
      </c>
      <c r="D14" s="7" t="str">
        <f aca="false">_xlfn.TEXTJOIN(", ",TRUE(),IF(AND(Profili!R14=1,Zmožnosti!$D$17=99),"Mize",""),IF(AND(Profili!S14=1,Zmožnosti!$D$18=99),"Kuhinja",""),IF(AND(Profili!T14=1,Zmožnosti!$D$19=99),"Točilnica",""),IF(AND(Profili!U14=1,Zmožnosti!$D$20=99),"Pripravljena hrana",""),IF(AND(Profili!V14=1,Zmožnosti!$D$21=99),"Odpadki",""),IF(AND(Profili!W14=1,Zmožnosti!$D$22=99),"Telefonska naročila",""),IF(AND(Profili!X14=1,Zmožnosti!$D$23=99),"Rezervacije",""),IF(AND(Profili!Y14=1,Zmožnosti!$D$24=99),"Dostava",""),IF(AND(Profili!Z14=1,Zmožnosti!$D$25=99),"QR meni",""),IF(AND(Profili!AA14=1,Zmožnosti!$D$26=99),"Večhodni meniji",""),IF(AND(Profili!AB14=1,Zmožnosti!$D$27=99),"Dogodki",""),IF(AND(Profili!AC14=1,Zmožnosti!$D$28=99),"Prenosi zaloge",""),IF(AND(Profili!AD14=1,Zmožnosti!$D$29=99),"Kavcije/boni/žetoni",""),IF(AND(Profili!AE14=1,Zmožnosti!$D$30=99),"Simulacija",""),IF(AND(Profili!AF14=1,Zmožnosti!$D$31=99),"Samopostrežna ponudba",""))</f>
        <v/>
      </c>
      <c r="E14" s="9" t="n">
        <f aca="false">(Profili!R14=1)*(Zmožnosti!$D$17=2)+(Profili!S14=1)*(Zmožnosti!$D$18=2)+(Profili!T14=1)*(Zmožnosti!$D$19=2)+(Profili!U14=1)*(Zmožnosti!$D$20=2)+(Profili!V14=1)*(Zmožnosti!$D$21=2)+(Profili!W14=1)*(Zmožnosti!$D$22=2)+(Profili!X14=1)*(Zmožnosti!$D$23=2)+(Profili!Y14=1)*(Zmožnosti!$D$24=2)+(Profili!Z14=1)*(Zmožnosti!$D$25=2)+(Profili!AA14=1)*(Zmožnosti!$D$26=2)+(Profili!AB14=1)*(Zmožnosti!$D$27=2)+(Profili!AC14=1)*(Zmožnosti!$D$28=2)+(Profili!AD14=1)*(Zmožnosti!$D$29=2)+(Profili!AE14=1)*(Zmožnosti!$D$30=2)+(Profili!AF14=1)*(Zmožnosti!$D$31=2)</f>
        <v>2</v>
      </c>
      <c r="F14" s="9" t="n">
        <f aca="false">(Profili!R14=1)*(Zmožnosti!$D$17=3)+(Profili!S14=1)*(Zmožnosti!$D$18=3)+(Profili!T14=1)*(Zmožnosti!$D$19=3)+(Profili!U14=1)*(Zmožnosti!$D$20=3)+(Profili!V14=1)*(Zmožnosti!$D$21=3)+(Profili!W14=1)*(Zmožnosti!$D$22=3)+(Profili!X14=1)*(Zmožnosti!$D$23=3)+(Profili!Y14=1)*(Zmožnosti!$D$24=3)+(Profili!Z14=1)*(Zmožnosti!$D$25=3)+(Profili!AA14=1)*(Zmožnosti!$D$26=3)+(Profili!AB14=1)*(Zmožnosti!$D$27=3)+(Profili!AC14=1)*(Zmožnosti!$D$28=3)+(Profili!AD14=1)*(Zmožnosti!$D$29=3)+(Profili!AE14=1)*(Zmožnosti!$D$30=3)+(Profili!AF14=1)*(Zmožnosti!$D$31=3)</f>
        <v>3</v>
      </c>
      <c r="G14" s="9" t="n">
        <f aca="false">(Profili!R14=1)*(Zmožnosti!$D$17=99)+(Profili!S14=1)*(Zmožnosti!$D$18=99)+(Profili!T14=1)*(Zmožnosti!$D$19=99)+(Profili!U14=1)*(Zmožnosti!$D$20=99)+(Profili!V14=1)*(Zmožnosti!$D$21=99)+(Profili!W14=1)*(Zmožnosti!$D$22=99)+(Profili!X14=1)*(Zmožnosti!$D$23=99)+(Profili!Y14=1)*(Zmožnosti!$D$24=99)+(Profili!Z14=1)*(Zmožnosti!$D$25=99)+(Profili!AA14=1)*(Zmožnosti!$D$26=99)+(Profili!AB14=1)*(Zmožnosti!$D$27=99)+(Profili!AC14=1)*(Zmožnosti!$D$28=99)+(Profili!AD14=1)*(Zmožnosti!$D$29=99)+(Profili!AE14=1)*(Zmožnosti!$D$30=99)+(Profili!AF14=1)*(Zmožnosti!$D$31=99)</f>
        <v>0</v>
      </c>
    </row>
    <row r="15" customFormat="false" ht="23.85" hidden="false" customHeight="false" outlineLevel="0" collapsed="false">
      <c r="A15" s="16" t="str">
        <f aca="false">Profili!B15</f>
        <v>Pogostitve in slavja</v>
      </c>
      <c r="B15" s="7" t="str">
        <f aca="false">_xlfn.TEXTJOIN(", ",TRUE(),IF(AND(Profili!R15=1,Zmožnosti!$D$17=2),"Mize",""),IF(AND(Profili!S15=1,Zmožnosti!$D$18=2),"Kuhinja",""),IF(AND(Profili!T15=1,Zmožnosti!$D$19=2),"Točilnica",""),IF(AND(Profili!U15=1,Zmožnosti!$D$20=2),"Pripravljena hrana",""),IF(AND(Profili!V15=1,Zmožnosti!$D$21=2),"Odpadki",""),IF(AND(Profili!W15=1,Zmožnosti!$D$22=2),"Telefonska naročila",""),IF(AND(Profili!X15=1,Zmožnosti!$D$23=2),"Rezervacije",""),IF(AND(Profili!Y15=1,Zmožnosti!$D$24=2),"Dostava",""),IF(AND(Profili!Z15=1,Zmožnosti!$D$25=2),"QR meni",""),IF(AND(Profili!AA15=1,Zmožnosti!$D$26=2),"Večhodni meniji",""),IF(AND(Profili!AB15=1,Zmožnosti!$D$27=2),"Dogodki",""),IF(AND(Profili!AC15=1,Zmožnosti!$D$28=2),"Prenosi zaloge",""),IF(AND(Profili!AD15=1,Zmožnosti!$D$29=2),"Kavcije/boni/žetoni",""),IF(AND(Profili!AE15=1,Zmožnosti!$D$30=2),"Simulacija",""),IF(AND(Profili!AF15=1,Zmožnosti!$D$31=2),"Samopostrežna ponudba",""))</f>
        <v>Mize, Kuhinja, Točilnica</v>
      </c>
      <c r="C15" s="7" t="str">
        <f aca="false">_xlfn.TEXTJOIN(", ",TRUE(),IF(AND(Profili!R15=1,Zmožnosti!$D$17=3),"Mize",""),IF(AND(Profili!S15=1,Zmožnosti!$D$18=3),"Kuhinja",""),IF(AND(Profili!T15=1,Zmožnosti!$D$19=3),"Točilnica",""),IF(AND(Profili!U15=1,Zmožnosti!$D$20=3),"Pripravljena hrana",""),IF(AND(Profili!V15=1,Zmožnosti!$D$21=3),"Odpadki",""),IF(AND(Profili!W15=1,Zmožnosti!$D$22=3),"Telefonska naročila",""),IF(AND(Profili!X15=1,Zmožnosti!$D$23=3),"Rezervacije",""),IF(AND(Profili!Y15=1,Zmožnosti!$D$24=3),"Dostava",""),IF(AND(Profili!Z15=1,Zmožnosti!$D$25=3),"QR meni",""),IF(AND(Profili!AA15=1,Zmožnosti!$D$26=3),"Večhodni meniji",""),IF(AND(Profili!AB15=1,Zmožnosti!$D$27=3),"Dogodki",""),IF(AND(Profili!AC15=1,Zmožnosti!$D$28=3),"Prenosi zaloge",""),IF(AND(Profili!AD15=1,Zmožnosti!$D$29=3),"Kavcije/boni/žetoni",""),IF(AND(Profili!AE15=1,Zmožnosti!$D$30=3),"Simulacija",""),IF(AND(Profili!AF15=1,Zmožnosti!$D$31=3),"Samopostrežna ponudba",""))</f>
        <v>Rezervacije, Večhodni meniji, Dogodki, Prenosi zaloge</v>
      </c>
      <c r="D15" s="7" t="str">
        <f aca="false">_xlfn.TEXTJOIN(", ",TRUE(),IF(AND(Profili!R15=1,Zmožnosti!$D$17=99),"Mize",""),IF(AND(Profili!S15=1,Zmožnosti!$D$18=99),"Kuhinja",""),IF(AND(Profili!T15=1,Zmožnosti!$D$19=99),"Točilnica",""),IF(AND(Profili!U15=1,Zmožnosti!$D$20=99),"Pripravljena hrana",""),IF(AND(Profili!V15=1,Zmožnosti!$D$21=99),"Odpadki",""),IF(AND(Profili!W15=1,Zmožnosti!$D$22=99),"Telefonska naročila",""),IF(AND(Profili!X15=1,Zmožnosti!$D$23=99),"Rezervacije",""),IF(AND(Profili!Y15=1,Zmožnosti!$D$24=99),"Dostava",""),IF(AND(Profili!Z15=1,Zmožnosti!$D$25=99),"QR meni",""),IF(AND(Profili!AA15=1,Zmožnosti!$D$26=99),"Večhodni meniji",""),IF(AND(Profili!AB15=1,Zmožnosti!$D$27=99),"Dogodki",""),IF(AND(Profili!AC15=1,Zmožnosti!$D$28=99),"Prenosi zaloge",""),IF(AND(Profili!AD15=1,Zmožnosti!$D$29=99),"Kavcije/boni/žetoni",""),IF(AND(Profili!AE15=1,Zmožnosti!$D$30=99),"Simulacija",""),IF(AND(Profili!AF15=1,Zmožnosti!$D$31=99),"Samopostrežna ponudba",""))</f>
        <v/>
      </c>
      <c r="E15" s="9" t="n">
        <f aca="false">(Profili!R15=1)*(Zmožnosti!$D$17=2)+(Profili!S15=1)*(Zmožnosti!$D$18=2)+(Profili!T15=1)*(Zmožnosti!$D$19=2)+(Profili!U15=1)*(Zmožnosti!$D$20=2)+(Profili!V15=1)*(Zmožnosti!$D$21=2)+(Profili!W15=1)*(Zmožnosti!$D$22=2)+(Profili!X15=1)*(Zmožnosti!$D$23=2)+(Profili!Y15=1)*(Zmožnosti!$D$24=2)+(Profili!Z15=1)*(Zmožnosti!$D$25=2)+(Profili!AA15=1)*(Zmožnosti!$D$26=2)+(Profili!AB15=1)*(Zmožnosti!$D$27=2)+(Profili!AC15=1)*(Zmožnosti!$D$28=2)+(Profili!AD15=1)*(Zmožnosti!$D$29=2)+(Profili!AE15=1)*(Zmožnosti!$D$30=2)+(Profili!AF15=1)*(Zmožnosti!$D$31=2)</f>
        <v>3</v>
      </c>
      <c r="F15" s="9" t="n">
        <f aca="false">(Profili!R15=1)*(Zmožnosti!$D$17=3)+(Profili!S15=1)*(Zmožnosti!$D$18=3)+(Profili!T15=1)*(Zmožnosti!$D$19=3)+(Profili!U15=1)*(Zmožnosti!$D$20=3)+(Profili!V15=1)*(Zmožnosti!$D$21=3)+(Profili!W15=1)*(Zmožnosti!$D$22=3)+(Profili!X15=1)*(Zmožnosti!$D$23=3)+(Profili!Y15=1)*(Zmožnosti!$D$24=3)+(Profili!Z15=1)*(Zmožnosti!$D$25=3)+(Profili!AA15=1)*(Zmožnosti!$D$26=3)+(Profili!AB15=1)*(Zmožnosti!$D$27=3)+(Profili!AC15=1)*(Zmožnosti!$D$28=3)+(Profili!AD15=1)*(Zmožnosti!$D$29=3)+(Profili!AE15=1)*(Zmožnosti!$D$30=3)+(Profili!AF15=1)*(Zmožnosti!$D$31=3)</f>
        <v>4</v>
      </c>
      <c r="G15" s="9" t="n">
        <f aca="false">(Profili!R15=1)*(Zmožnosti!$D$17=99)+(Profili!S15=1)*(Zmožnosti!$D$18=99)+(Profili!T15=1)*(Zmožnosti!$D$19=99)+(Profili!U15=1)*(Zmožnosti!$D$20=99)+(Profili!V15=1)*(Zmožnosti!$D$21=99)+(Profili!W15=1)*(Zmožnosti!$D$22=99)+(Profili!X15=1)*(Zmožnosti!$D$23=99)+(Profili!Y15=1)*(Zmožnosti!$D$24=99)+(Profili!Z15=1)*(Zmožnosti!$D$25=99)+(Profili!AA15=1)*(Zmožnosti!$D$26=99)+(Profili!AB15=1)*(Zmožnosti!$D$27=99)+(Profili!AC15=1)*(Zmožnosti!$D$28=99)+(Profili!AD15=1)*(Zmožnosti!$D$29=99)+(Profili!AE15=1)*(Zmožnosti!$D$30=99)+(Profili!AF15=1)*(Zmožnosti!$D$31=99)</f>
        <v>0</v>
      </c>
    </row>
    <row r="16" customFormat="false" ht="15" hidden="false" customHeight="false" outlineLevel="0" collapsed="false">
      <c r="A16" s="16" t="str">
        <f aca="false">Profili!B16</f>
        <v>Food truck / prikolica / kombi</v>
      </c>
      <c r="B16" s="7" t="str">
        <f aca="false">_xlfn.TEXTJOIN(", ",TRUE(),IF(AND(Profili!R16=1,Zmožnosti!$D$17=2),"Mize",""),IF(AND(Profili!S16=1,Zmožnosti!$D$18=2),"Kuhinja",""),IF(AND(Profili!T16=1,Zmožnosti!$D$19=2),"Točilnica",""),IF(AND(Profili!U16=1,Zmožnosti!$D$20=2),"Pripravljena hrana",""),IF(AND(Profili!V16=1,Zmožnosti!$D$21=2),"Odpadki",""),IF(AND(Profili!W16=1,Zmožnosti!$D$22=2),"Telefonska naročila",""),IF(AND(Profili!X16=1,Zmožnosti!$D$23=2),"Rezervacije",""),IF(AND(Profili!Y16=1,Zmožnosti!$D$24=2),"Dostava",""),IF(AND(Profili!Z16=1,Zmožnosti!$D$25=2),"QR meni",""),IF(AND(Profili!AA16=1,Zmožnosti!$D$26=2),"Večhodni meniji",""),IF(AND(Profili!AB16=1,Zmožnosti!$D$27=2),"Dogodki",""),IF(AND(Profili!AC16=1,Zmožnosti!$D$28=2),"Prenosi zaloge",""),IF(AND(Profili!AD16=1,Zmožnosti!$D$29=2),"Kavcije/boni/žetoni",""),IF(AND(Profili!AE16=1,Zmožnosti!$D$30=2),"Simulacija",""),IF(AND(Profili!AF16=1,Zmožnosti!$D$31=2),"Samopostrežna ponudba",""))</f>
        <v>Kuhinja, Pripravljena hrana</v>
      </c>
      <c r="C16" s="7" t="str">
        <f aca="false">_xlfn.TEXTJOIN(", ",TRUE(),IF(AND(Profili!R16=1,Zmožnosti!$D$17=3),"Mize",""),IF(AND(Profili!S16=1,Zmožnosti!$D$18=3),"Kuhinja",""),IF(AND(Profili!T16=1,Zmožnosti!$D$19=3),"Točilnica",""),IF(AND(Profili!U16=1,Zmožnosti!$D$20=3),"Pripravljena hrana",""),IF(AND(Profili!V16=1,Zmožnosti!$D$21=3),"Odpadki",""),IF(AND(Profili!W16=1,Zmožnosti!$D$22=3),"Telefonska naročila",""),IF(AND(Profili!X16=1,Zmožnosti!$D$23=3),"Rezervacije",""),IF(AND(Profili!Y16=1,Zmožnosti!$D$24=3),"Dostava",""),IF(AND(Profili!Z16=1,Zmožnosti!$D$25=3),"QR meni",""),IF(AND(Profili!AA16=1,Zmožnosti!$D$26=3),"Večhodni meniji",""),IF(AND(Profili!AB16=1,Zmožnosti!$D$27=3),"Dogodki",""),IF(AND(Profili!AC16=1,Zmožnosti!$D$28=3),"Prenosi zaloge",""),IF(AND(Profili!AD16=1,Zmožnosti!$D$29=3),"Kavcije/boni/žetoni",""),IF(AND(Profili!AE16=1,Zmožnosti!$D$30=3),"Simulacija",""),IF(AND(Profili!AF16=1,Zmožnosti!$D$31=3),"Samopostrežna ponudba",""))</f>
        <v>Dostava, Dogodki, Prenosi zaloge</v>
      </c>
      <c r="D16" s="7" t="str">
        <f aca="false">_xlfn.TEXTJOIN(", ",TRUE(),IF(AND(Profili!R16=1,Zmožnosti!$D$17=99),"Mize",""),IF(AND(Profili!S16=1,Zmožnosti!$D$18=99),"Kuhinja",""),IF(AND(Profili!T16=1,Zmožnosti!$D$19=99),"Točilnica",""),IF(AND(Profili!U16=1,Zmožnosti!$D$20=99),"Pripravljena hrana",""),IF(AND(Profili!V16=1,Zmožnosti!$D$21=99),"Odpadki",""),IF(AND(Profili!W16=1,Zmožnosti!$D$22=99),"Telefonska naročila",""),IF(AND(Profili!X16=1,Zmožnosti!$D$23=99),"Rezervacije",""),IF(AND(Profili!Y16=1,Zmožnosti!$D$24=99),"Dostava",""),IF(AND(Profili!Z16=1,Zmožnosti!$D$25=99),"QR meni",""),IF(AND(Profili!AA16=1,Zmožnosti!$D$26=99),"Večhodni meniji",""),IF(AND(Profili!AB16=1,Zmožnosti!$D$27=99),"Dogodki",""),IF(AND(Profili!AC16=1,Zmožnosti!$D$28=99),"Prenosi zaloge",""),IF(AND(Profili!AD16=1,Zmožnosti!$D$29=99),"Kavcije/boni/žetoni",""),IF(AND(Profili!AE16=1,Zmožnosti!$D$30=99),"Simulacija",""),IF(AND(Profili!AF16=1,Zmožnosti!$D$31=99),"Samopostrežna ponudba",""))</f>
        <v/>
      </c>
      <c r="E16" s="9" t="n">
        <f aca="false">(Profili!R16=1)*(Zmožnosti!$D$17=2)+(Profili!S16=1)*(Zmožnosti!$D$18=2)+(Profili!T16=1)*(Zmožnosti!$D$19=2)+(Profili!U16=1)*(Zmožnosti!$D$20=2)+(Profili!V16=1)*(Zmožnosti!$D$21=2)+(Profili!W16=1)*(Zmožnosti!$D$22=2)+(Profili!X16=1)*(Zmožnosti!$D$23=2)+(Profili!Y16=1)*(Zmožnosti!$D$24=2)+(Profili!Z16=1)*(Zmožnosti!$D$25=2)+(Profili!AA16=1)*(Zmožnosti!$D$26=2)+(Profili!AB16=1)*(Zmožnosti!$D$27=2)+(Profili!AC16=1)*(Zmožnosti!$D$28=2)+(Profili!AD16=1)*(Zmožnosti!$D$29=2)+(Profili!AE16=1)*(Zmožnosti!$D$30=2)+(Profili!AF16=1)*(Zmožnosti!$D$31=2)</f>
        <v>2</v>
      </c>
      <c r="F16" s="9" t="n">
        <f aca="false">(Profili!R16=1)*(Zmožnosti!$D$17=3)+(Profili!S16=1)*(Zmožnosti!$D$18=3)+(Profili!T16=1)*(Zmožnosti!$D$19=3)+(Profili!U16=1)*(Zmožnosti!$D$20=3)+(Profili!V16=1)*(Zmožnosti!$D$21=3)+(Profili!W16=1)*(Zmožnosti!$D$22=3)+(Profili!X16=1)*(Zmožnosti!$D$23=3)+(Profili!Y16=1)*(Zmožnosti!$D$24=3)+(Profili!Z16=1)*(Zmožnosti!$D$25=3)+(Profili!AA16=1)*(Zmožnosti!$D$26=3)+(Profili!AB16=1)*(Zmožnosti!$D$27=3)+(Profili!AC16=1)*(Zmožnosti!$D$28=3)+(Profili!AD16=1)*(Zmožnosti!$D$29=3)+(Profili!AE16=1)*(Zmožnosti!$D$30=3)+(Profili!AF16=1)*(Zmožnosti!$D$31=3)</f>
        <v>3</v>
      </c>
      <c r="G16" s="9" t="n">
        <f aca="false">(Profili!R16=1)*(Zmožnosti!$D$17=99)+(Profili!S16=1)*(Zmožnosti!$D$18=99)+(Profili!T16=1)*(Zmožnosti!$D$19=99)+(Profili!U16=1)*(Zmožnosti!$D$20=99)+(Profili!V16=1)*(Zmožnosti!$D$21=99)+(Profili!W16=1)*(Zmožnosti!$D$22=99)+(Profili!X16=1)*(Zmožnosti!$D$23=99)+(Profili!Y16=1)*(Zmožnosti!$D$24=99)+(Profili!Z16=1)*(Zmožnosti!$D$25=99)+(Profili!AA16=1)*(Zmožnosti!$D$26=99)+(Profili!AB16=1)*(Zmožnosti!$D$27=99)+(Profili!AC16=1)*(Zmožnosti!$D$28=99)+(Profili!AD16=1)*(Zmožnosti!$D$29=99)+(Profili!AE16=1)*(Zmožnosti!$D$30=99)+(Profili!AF16=1)*(Zmožnosti!$D$31=99)</f>
        <v>0</v>
      </c>
    </row>
    <row r="17" customFormat="false" ht="15" hidden="false" customHeight="false" outlineLevel="0" collapsed="false">
      <c r="A17" s="16" t="str">
        <f aca="false">Profili!B17</f>
        <v>Hotelska gostinska ponudba</v>
      </c>
      <c r="B17" s="7" t="str">
        <f aca="false">_xlfn.TEXTJOIN(", ",TRUE(),IF(AND(Profili!R17=1,Zmožnosti!$D$17=2),"Mize",""),IF(AND(Profili!S17=1,Zmožnosti!$D$18=2),"Kuhinja",""),IF(AND(Profili!T17=1,Zmožnosti!$D$19=2),"Točilnica",""),IF(AND(Profili!U17=1,Zmožnosti!$D$20=2),"Pripravljena hrana",""),IF(AND(Profili!V17=1,Zmožnosti!$D$21=2),"Odpadki",""),IF(AND(Profili!W17=1,Zmožnosti!$D$22=2),"Telefonska naročila",""),IF(AND(Profili!X17=1,Zmožnosti!$D$23=2),"Rezervacije",""),IF(AND(Profili!Y17=1,Zmožnosti!$D$24=2),"Dostava",""),IF(AND(Profili!Z17=1,Zmožnosti!$D$25=2),"QR meni",""),IF(AND(Profili!AA17=1,Zmožnosti!$D$26=2),"Večhodni meniji",""),IF(AND(Profili!AB17=1,Zmožnosti!$D$27=2),"Dogodki",""),IF(AND(Profili!AC17=1,Zmožnosti!$D$28=2),"Prenosi zaloge",""),IF(AND(Profili!AD17=1,Zmožnosti!$D$29=2),"Kavcije/boni/žetoni",""),IF(AND(Profili!AE17=1,Zmožnosti!$D$30=2),"Simulacija",""),IF(AND(Profili!AF17=1,Zmožnosti!$D$31=2),"Samopostrežna ponudba",""))</f>
        <v>Mize, Kuhinja, Točilnica, Pripravljena hrana, Odpadki</v>
      </c>
      <c r="C17" s="7" t="str">
        <f aca="false">_xlfn.TEXTJOIN(", ",TRUE(),IF(AND(Profili!R17=1,Zmožnosti!$D$17=3),"Mize",""),IF(AND(Profili!S17=1,Zmožnosti!$D$18=3),"Kuhinja",""),IF(AND(Profili!T17=1,Zmožnosti!$D$19=3),"Točilnica",""),IF(AND(Profili!U17=1,Zmožnosti!$D$20=3),"Pripravljena hrana",""),IF(AND(Profili!V17=1,Zmožnosti!$D$21=3),"Odpadki",""),IF(AND(Profili!W17=1,Zmožnosti!$D$22=3),"Telefonska naročila",""),IF(AND(Profili!X17=1,Zmožnosti!$D$23=3),"Rezervacije",""),IF(AND(Profili!Y17=1,Zmožnosti!$D$24=3),"Dostava",""),IF(AND(Profili!Z17=1,Zmožnosti!$D$25=3),"QR meni",""),IF(AND(Profili!AA17=1,Zmožnosti!$D$26=3),"Večhodni meniji",""),IF(AND(Profili!AB17=1,Zmožnosti!$D$27=3),"Dogodki",""),IF(AND(Profili!AC17=1,Zmožnosti!$D$28=3),"Prenosi zaloge",""),IF(AND(Profili!AD17=1,Zmožnosti!$D$29=3),"Kavcije/boni/žetoni",""),IF(AND(Profili!AE17=1,Zmožnosti!$D$30=3),"Simulacija",""),IF(AND(Profili!AF17=1,Zmožnosti!$D$31=3),"Samopostrežna ponudba",""))</f>
        <v>Rezervacije</v>
      </c>
      <c r="D17" s="7" t="str">
        <f aca="false">_xlfn.TEXTJOIN(", ",TRUE(),IF(AND(Profili!R17=1,Zmožnosti!$D$17=99),"Mize",""),IF(AND(Profili!S17=1,Zmožnosti!$D$18=99),"Kuhinja",""),IF(AND(Profili!T17=1,Zmožnosti!$D$19=99),"Točilnica",""),IF(AND(Profili!U17=1,Zmožnosti!$D$20=99),"Pripravljena hrana",""),IF(AND(Profili!V17=1,Zmožnosti!$D$21=99),"Odpadki",""),IF(AND(Profili!W17=1,Zmožnosti!$D$22=99),"Telefonska naročila",""),IF(AND(Profili!X17=1,Zmožnosti!$D$23=99),"Rezervacije",""),IF(AND(Profili!Y17=1,Zmožnosti!$D$24=99),"Dostava",""),IF(AND(Profili!Z17=1,Zmožnosti!$D$25=99),"QR meni",""),IF(AND(Profili!AA17=1,Zmožnosti!$D$26=99),"Večhodni meniji",""),IF(AND(Profili!AB17=1,Zmožnosti!$D$27=99),"Dogodki",""),IF(AND(Profili!AC17=1,Zmožnosti!$D$28=99),"Prenosi zaloge",""),IF(AND(Profili!AD17=1,Zmožnosti!$D$29=99),"Kavcije/boni/žetoni",""),IF(AND(Profili!AE17=1,Zmožnosti!$D$30=99),"Simulacija",""),IF(AND(Profili!AF17=1,Zmožnosti!$D$31=99),"Samopostrežna ponudba",""))</f>
        <v>Samopostrežna ponudba</v>
      </c>
      <c r="E17" s="9" t="n">
        <f aca="false">(Profili!R17=1)*(Zmožnosti!$D$17=2)+(Profili!S17=1)*(Zmožnosti!$D$18=2)+(Profili!T17=1)*(Zmožnosti!$D$19=2)+(Profili!U17=1)*(Zmožnosti!$D$20=2)+(Profili!V17=1)*(Zmožnosti!$D$21=2)+(Profili!W17=1)*(Zmožnosti!$D$22=2)+(Profili!X17=1)*(Zmožnosti!$D$23=2)+(Profili!Y17=1)*(Zmožnosti!$D$24=2)+(Profili!Z17=1)*(Zmožnosti!$D$25=2)+(Profili!AA17=1)*(Zmožnosti!$D$26=2)+(Profili!AB17=1)*(Zmožnosti!$D$27=2)+(Profili!AC17=1)*(Zmožnosti!$D$28=2)+(Profili!AD17=1)*(Zmožnosti!$D$29=2)+(Profili!AE17=1)*(Zmožnosti!$D$30=2)+(Profili!AF17=1)*(Zmožnosti!$D$31=2)</f>
        <v>5</v>
      </c>
      <c r="F17" s="9" t="n">
        <f aca="false">(Profili!R17=1)*(Zmožnosti!$D$17=3)+(Profili!S17=1)*(Zmožnosti!$D$18=3)+(Profili!T17=1)*(Zmožnosti!$D$19=3)+(Profili!U17=1)*(Zmožnosti!$D$20=3)+(Profili!V17=1)*(Zmožnosti!$D$21=3)+(Profili!W17=1)*(Zmožnosti!$D$22=3)+(Profili!X17=1)*(Zmožnosti!$D$23=3)+(Profili!Y17=1)*(Zmožnosti!$D$24=3)+(Profili!Z17=1)*(Zmožnosti!$D$25=3)+(Profili!AA17=1)*(Zmožnosti!$D$26=3)+(Profili!AB17=1)*(Zmožnosti!$D$27=3)+(Profili!AC17=1)*(Zmožnosti!$D$28=3)+(Profili!AD17=1)*(Zmožnosti!$D$29=3)+(Profili!AE17=1)*(Zmožnosti!$D$30=3)+(Profili!AF17=1)*(Zmožnosti!$D$31=3)</f>
        <v>1</v>
      </c>
      <c r="G17" s="9" t="n">
        <f aca="false">(Profili!R17=1)*(Zmožnosti!$D$17=99)+(Profili!S17=1)*(Zmožnosti!$D$18=99)+(Profili!T17=1)*(Zmožnosti!$D$19=99)+(Profili!U17=1)*(Zmožnosti!$D$20=99)+(Profili!V17=1)*(Zmožnosti!$D$21=99)+(Profili!W17=1)*(Zmožnosti!$D$22=99)+(Profili!X17=1)*(Zmožnosti!$D$23=99)+(Profili!Y17=1)*(Zmožnosti!$D$24=99)+(Profili!Z17=1)*(Zmožnosti!$D$25=99)+(Profili!AA17=1)*(Zmožnosti!$D$26=99)+(Profili!AB17=1)*(Zmožnosti!$D$27=99)+(Profili!AC17=1)*(Zmožnosti!$D$28=99)+(Profili!AD17=1)*(Zmožnosti!$D$29=99)+(Profili!AE17=1)*(Zmožnosti!$D$30=99)+(Profili!AF17=1)*(Zmožnosti!$D$31=99)</f>
        <v>1</v>
      </c>
    </row>
  </sheetData>
  <conditionalFormatting sqref="G5:G17">
    <cfRule type="cellIs" priority="2" operator="greaterThan" aboveAverage="0" equalAverage="0" bottom="0" percent="0" rank="0" text="" dxfId="2">
      <formula>0</formula>
    </cfRule>
  </conditionalFormatting>
  <conditionalFormatting sqref="D5:D17">
    <cfRule type="expression" priority="3" aboveAverage="0" equalAverage="0" bottom="0" percent="0" rank="0" text="" dxfId="3">
      <formula>LEN($D5)&gt;0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2026-10-08T21:04:46Z</dcterms:created>
  <dc:creator>openpyxl</dc:creator>
  <dc:description/>
  <dc:language>en-US</dc:language>
  <cp:lastModifiedBy/>
  <dcterms:modified xsi:type="dcterms:W3CDTF">2026-10-08T21:04:46Z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